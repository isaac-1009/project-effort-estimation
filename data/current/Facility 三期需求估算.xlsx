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975"/>
  </bookViews>
  <sheets>
    <sheet name="工时估算 (2)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<sst xmlns="http://schemas.openxmlformats.org/spreadsheetml/2006/main" count="85" uniqueCount="61">
  <si>
    <t>#</t>
  </si>
  <si>
    <t>模块</t>
  </si>
  <si>
    <t>功能</t>
  </si>
  <si>
    <t>需求类型</t>
  </si>
  <si>
    <t>描述</t>
  </si>
  <si>
    <t>系统</t>
  </si>
  <si>
    <t>工时(人天)</t>
  </si>
  <si>
    <t>备注</t>
  </si>
  <si>
    <t>功能开发</t>
  </si>
  <si>
    <t>应用数据统计展示</t>
  </si>
  <si>
    <t>功能优化</t>
  </si>
  <si>
    <t>统计应用，所有模块使用情况，推文互动数据统计展示</t>
  </si>
  <si>
    <t>企微</t>
  </si>
  <si>
    <t>PC后台</t>
  </si>
  <si>
    <t>数据统计，展示，导出</t>
  </si>
  <si>
    <t>工单报修时间段数量限制</t>
  </si>
  <si>
    <t>工单报修修改（限制时间段可报修数量）</t>
  </si>
  <si>
    <t>评论支持图片</t>
  </si>
  <si>
    <t>推文评论支持上传图片（最多九张）</t>
  </si>
  <si>
    <t>评论时可上传最多9张图片，支持图片预览和删除</t>
  </si>
  <si>
    <t>评论管理列表中显示评论配图缩略图，点击可查看大图</t>
  </si>
  <si>
    <t>名片申请优化</t>
  </si>
  <si>
    <t>多title，数据分析展示</t>
  </si>
  <si>
    <t>申请合并</t>
  </si>
  <si>
    <t>空调， 出门证/货梯 两项申请合并</t>
  </si>
  <si>
    <t>空调， 出门证/货梯 两项申请合并入口；企微推送消息优化；"我的"全部事项内容展示优化</t>
  </si>
  <si>
    <t>数据分类合并，审批处理合并</t>
  </si>
  <si>
    <t>在场权益</t>
  </si>
  <si>
    <t>链接陆家嘴物业小程序，跳转过去</t>
  </si>
  <si>
    <t>在场权益维护，链接跳转</t>
  </si>
  <si>
    <t xml:space="preserve">ISO 45001认证 </t>
  </si>
  <si>
    <t>新功能</t>
  </si>
  <si>
    <r>
      <t>知识库</t>
    </r>
    <r>
      <rPr>
        <sz val="11"/>
        <color theme="1"/>
        <rFont val="微软雅黑"/>
        <charset val="134"/>
      </rPr>
      <t>、宣传渠道（静态页面）</t>
    </r>
  </si>
  <si>
    <t>知识库分类查看，关键词搜索，附件下载，支持转发和收藏（我的），数据统计</t>
  </si>
  <si>
    <t>知识库（图文+附件）维护，支持推送，关键字搜索，统计展示</t>
  </si>
  <si>
    <t>EAG</t>
  </si>
  <si>
    <r>
      <t>静态页，</t>
    </r>
    <r>
      <rPr>
        <b/>
        <sz val="11"/>
        <color theme="1"/>
        <rFont val="微软雅黑"/>
        <charset val="134"/>
      </rPr>
      <t>以物易物流程支持</t>
    </r>
  </si>
  <si>
    <t>物品管理（标题，分类，描述，图片等），搜索，企微私聊，换物匹配申请 ，同意，完成，下架等，静态页内容维护</t>
  </si>
  <si>
    <t>物品信息查看与审核（下架），数据统计</t>
  </si>
  <si>
    <t>A1chatbot-行政小智</t>
  </si>
  <si>
    <t>POC阶段：验证Dify基础接入可行性，实现企微消息接收→Dify处理→回复的基本问答流程</t>
  </si>
  <si>
    <t>Dify API集成调试，页面交互开发，历史聊天记录存储</t>
  </si>
  <si>
    <t>数据统计， 聊天记录导出</t>
  </si>
  <si>
    <t>工位、办公室管理系统</t>
  </si>
  <si>
    <r>
      <t>POC阶段：</t>
    </r>
    <r>
      <rPr>
        <b/>
        <sz val="11"/>
        <color theme="1"/>
        <rFont val="微软雅黑"/>
        <charset val="134"/>
      </rPr>
      <t>实现楼层构位平面图可视化、工位的增删改查</t>
    </r>
    <r>
      <rPr>
        <sz val="11"/>
        <color theme="1"/>
        <rFont val="微软雅黑"/>
        <charset val="134"/>
      </rPr>
      <t>、状态处理（空闲/占用/维护）、分配、释放等核心功能</t>
    </r>
  </si>
  <si>
    <t>工位楼层展示，工位信息搜索</t>
  </si>
  <si>
    <t>工位楼层创建，工位的增删改查、状态处理（空闲/占用/维护）、分配、释放等核心功能</t>
  </si>
  <si>
    <t>Loffice前滩总部访客管理及大楼闸机权限</t>
  </si>
  <si>
    <t>访客管理、闸机卡权限管理</t>
  </si>
  <si>
    <t>访客信息填写，审核，获取闸机权限</t>
  </si>
  <si>
    <t>闸机卡权限管理（需对接物业），访客信息查看与审核，数据统计</t>
  </si>
  <si>
    <t>天气预警</t>
  </si>
  <si>
    <t>集成第三方天气API，支持主动推送预警（台风、暴雨、高温等）到企微，同时员工可在Facility应用中查询当前天气+预警信息</t>
  </si>
  <si>
    <t>第三方API接口，数据展示，企微消息推送</t>
  </si>
  <si>
    <t>功能测试</t>
  </si>
  <si>
    <t>-</t>
  </si>
  <si>
    <t>集成测试，系统测试</t>
  </si>
  <si>
    <t>验收发布</t>
  </si>
  <si>
    <t>验收技术支持，系统发布</t>
  </si>
  <si>
    <t>需求沟通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</si>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</sst>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rgb="FFFFFFFF"/>
      <name val="微软雅黑"/>
      <charset val="134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11" applyNumberFormat="0" applyAlignment="0" applyProtection="0">
      <alignment vertical="center"/>
    </xf>
    <xf numFmtId="0" fontId="14" fillId="5" borderId="12" applyNumberFormat="0" applyAlignment="0" applyProtection="0">
      <alignment vertical="center"/>
    </xf>
    <xf numFmtId="0" fontId="15" fillId="5" borderId="11" applyNumberFormat="0" applyAlignment="0" applyProtection="0">
      <alignment vertical="center"/>
    </xf>
    <xf numFmtId="0" fontId="16" fillId="6" borderId="13" applyNumberFormat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right"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0" borderId="1" xfId="0" applyFont="1" applyBorder="1" applyAlignment="1">
      <alignment vertical="center" wrapText="1"/>
    </xf>
    <xf numFmtId="0" fontId="3" fillId="0" borderId="2" xfId="0" applyFont="1" applyBorder="1" applyAlignment="1">
      <alignment horizontal="left" vertical="top" wrapText="1"/>
    </xf>
    <xf numFmtId="0" fontId="2" fillId="0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1" xfId="0" applyFont="1" applyBorder="1"/>
    <xf numFmtId="0" fontId="2" fillId="0" borderId="1" xfId="0" applyFont="1" applyBorder="1" applyAlignment="1">
      <alignment horizontal="right"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tabSelected="1"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7"/>
  <cols>
    <col min="1" max="1" width="5.70833333333333" customWidth="1"/>
    <col min="2" max="2" width="8.875" customWidth="1"/>
    <col min="3" max="3" width="23.75" customWidth="1"/>
    <col min="4" max="4" width="9.375" customWidth="1"/>
    <col min="5" max="5" width="55.75" customWidth="1"/>
    <col min="6" max="6" width="7.25" customWidth="1"/>
    <col min="7" max="7" width="9.625" customWidth="1"/>
    <col min="8" max="8" width="56.375" customWidth="1"/>
  </cols>
  <sheetData>
    <row r="1" ht="45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16.5" spans="1:8">
      <c r="A2" s="2">
        <v>1</v>
      </c>
      <c r="B2" s="3" t="s">
        <v>8</v>
      </c>
      <c r="C2" s="4" t="s">
        <v>9</v>
      </c>
      <c r="D2" s="4" t="s">
        <v>10</v>
      </c>
      <c r="E2" s="4" t="s">
        <v>11</v>
      </c>
      <c r="F2" s="5" t="s">
        <v>12</v>
      </c>
      <c r="G2" s="6">
        <v>5</v>
      </c>
      <c r="H2" s="7"/>
    </row>
    <row r="3" ht="16.5" spans="1:8">
      <c r="A3" s="2">
        <v>2</v>
      </c>
      <c r="B3" s="8"/>
      <c r="C3" s="9"/>
      <c r="D3" s="10"/>
      <c r="E3" s="9"/>
      <c r="F3" s="5" t="s">
        <v>13</v>
      </c>
      <c r="G3" s="6">
        <v>2</v>
      </c>
      <c r="H3" s="11" t="s">
        <v>14</v>
      </c>
    </row>
    <row r="4" ht="16.5" spans="1:8">
      <c r="A4" s="2">
        <v>3</v>
      </c>
      <c r="B4" s="8"/>
      <c r="C4" s="5" t="s">
        <v>15</v>
      </c>
      <c r="D4" s="10"/>
      <c r="E4" s="5" t="s">
        <v>16</v>
      </c>
      <c r="F4" s="5" t="s">
        <v>12</v>
      </c>
      <c r="G4" s="6">
        <v>2</v>
      </c>
      <c r="H4" s="7"/>
    </row>
    <row r="5" ht="16.5" spans="1:8">
      <c r="A5" s="2">
        <v>4</v>
      </c>
      <c r="B5" s="8"/>
      <c r="C5" s="4" t="s">
        <v>17</v>
      </c>
      <c r="D5" s="10"/>
      <c r="E5" s="4" t="s">
        <v>18</v>
      </c>
      <c r="F5" s="5" t="s">
        <v>12</v>
      </c>
      <c r="G5" s="6">
        <v>4</v>
      </c>
      <c r="H5" s="11" t="s">
        <v>19</v>
      </c>
    </row>
    <row r="6" ht="16.5" spans="1:8">
      <c r="A6" s="2">
        <v>5</v>
      </c>
      <c r="B6" s="8"/>
      <c r="C6" s="9"/>
      <c r="D6" s="10"/>
      <c r="E6" s="9"/>
      <c r="F6" s="5" t="s">
        <v>13</v>
      </c>
      <c r="G6" s="6">
        <v>1</v>
      </c>
      <c r="H6" s="11" t="s">
        <v>20</v>
      </c>
    </row>
    <row r="7" ht="16.5" spans="1:8">
      <c r="A7" s="2">
        <v>6</v>
      </c>
      <c r="B7" s="8"/>
      <c r="C7" s="4" t="s">
        <v>21</v>
      </c>
      <c r="D7" s="10"/>
      <c r="E7" s="4" t="s">
        <v>22</v>
      </c>
      <c r="F7" s="5" t="s">
        <v>12</v>
      </c>
      <c r="G7" s="6">
        <v>3</v>
      </c>
      <c r="H7" s="7"/>
    </row>
    <row r="8" ht="16.5" spans="1:8">
      <c r="A8" s="2">
        <v>7</v>
      </c>
      <c r="B8" s="8"/>
      <c r="C8" s="9"/>
      <c r="D8" s="10"/>
      <c r="E8" s="9"/>
      <c r="F8" s="5" t="s">
        <v>13</v>
      </c>
      <c r="G8" s="6">
        <v>2</v>
      </c>
      <c r="H8" s="7"/>
    </row>
    <row r="9" ht="33" spans="1:8">
      <c r="A9" s="2">
        <v>8</v>
      </c>
      <c r="B9" s="8"/>
      <c r="C9" s="4" t="s">
        <v>23</v>
      </c>
      <c r="D9" s="10"/>
      <c r="E9" s="4" t="s">
        <v>24</v>
      </c>
      <c r="F9" s="5" t="s">
        <v>12</v>
      </c>
      <c r="G9" s="6">
        <v>4</v>
      </c>
      <c r="H9" s="11" t="s">
        <v>25</v>
      </c>
    </row>
    <row r="10" ht="16.5" spans="1:8">
      <c r="A10" s="2">
        <v>9</v>
      </c>
      <c r="B10" s="8"/>
      <c r="C10" s="9"/>
      <c r="D10" s="10"/>
      <c r="E10" s="9"/>
      <c r="F10" s="5" t="s">
        <v>13</v>
      </c>
      <c r="G10" s="6">
        <v>4</v>
      </c>
      <c r="H10" s="11" t="s">
        <v>26</v>
      </c>
    </row>
    <row r="11" ht="16.5" spans="1:8">
      <c r="A11" s="2">
        <v>10</v>
      </c>
      <c r="B11" s="8"/>
      <c r="C11" s="5" t="s">
        <v>27</v>
      </c>
      <c r="D11" s="9"/>
      <c r="E11" s="5" t="s">
        <v>28</v>
      </c>
      <c r="F11" s="5" t="s">
        <v>12</v>
      </c>
      <c r="G11" s="6">
        <v>2</v>
      </c>
      <c r="H11" s="11" t="s">
        <v>29</v>
      </c>
    </row>
    <row r="12" ht="33" spans="1:8">
      <c r="A12" s="2">
        <v>11</v>
      </c>
      <c r="B12" s="8"/>
      <c r="C12" s="4" t="s">
        <v>30</v>
      </c>
      <c r="D12" s="4" t="s">
        <v>31</v>
      </c>
      <c r="E12" s="12" t="s">
        <v>32</v>
      </c>
      <c r="F12" s="13" t="s">
        <v>12</v>
      </c>
      <c r="G12" s="6">
        <v>10</v>
      </c>
      <c r="H12" s="11" t="s">
        <v>33</v>
      </c>
    </row>
    <row r="13" ht="16.5" spans="1:8">
      <c r="A13" s="2">
        <v>12</v>
      </c>
      <c r="B13" s="8"/>
      <c r="C13" s="9"/>
      <c r="D13" s="10"/>
      <c r="E13" s="9"/>
      <c r="F13" s="13" t="s">
        <v>13</v>
      </c>
      <c r="G13" s="6">
        <v>15</v>
      </c>
      <c r="H13" s="11" t="s">
        <v>34</v>
      </c>
    </row>
    <row r="14" ht="33" spans="1:8">
      <c r="A14" s="2">
        <v>13</v>
      </c>
      <c r="B14" s="8"/>
      <c r="C14" s="4" t="s">
        <v>35</v>
      </c>
      <c r="D14" s="10"/>
      <c r="E14" s="4" t="s">
        <v>36</v>
      </c>
      <c r="F14" s="13" t="s">
        <v>12</v>
      </c>
      <c r="G14" s="6">
        <v>20</v>
      </c>
      <c r="H14" s="11" t="s">
        <v>37</v>
      </c>
    </row>
    <row r="15" ht="16.5" spans="1:8">
      <c r="A15" s="2">
        <v>14</v>
      </c>
      <c r="B15" s="8"/>
      <c r="C15" s="9"/>
      <c r="D15" s="10"/>
      <c r="E15" s="9"/>
      <c r="F15" s="13" t="s">
        <v>13</v>
      </c>
      <c r="G15" s="6">
        <v>8</v>
      </c>
      <c r="H15" s="11" t="s">
        <v>38</v>
      </c>
    </row>
    <row r="16" ht="16.5" spans="1:8">
      <c r="A16" s="2">
        <v>15</v>
      </c>
      <c r="B16" s="8"/>
      <c r="C16" s="4" t="s">
        <v>39</v>
      </c>
      <c r="D16" s="10"/>
      <c r="E16" s="4" t="s">
        <v>40</v>
      </c>
      <c r="F16" s="13" t="s">
        <v>12</v>
      </c>
      <c r="G16" s="6">
        <v>8</v>
      </c>
      <c r="H16" s="11" t="s">
        <v>41</v>
      </c>
    </row>
    <row r="17" ht="16.5" spans="1:8">
      <c r="A17" s="2">
        <v>16</v>
      </c>
      <c r="B17" s="8"/>
      <c r="C17" s="9"/>
      <c r="D17" s="10"/>
      <c r="E17" s="9"/>
      <c r="F17" s="13" t="s">
        <v>13</v>
      </c>
      <c r="G17" s="6">
        <v>5</v>
      </c>
      <c r="H17" s="11" t="s">
        <v>42</v>
      </c>
    </row>
    <row r="18" ht="16.5" spans="1:8">
      <c r="A18" s="2">
        <v>17</v>
      </c>
      <c r="B18" s="8"/>
      <c r="C18" s="4" t="s">
        <v>43</v>
      </c>
      <c r="D18" s="10"/>
      <c r="E18" s="4" t="s">
        <v>44</v>
      </c>
      <c r="F18" s="13" t="s">
        <v>12</v>
      </c>
      <c r="G18" s="6">
        <v>10</v>
      </c>
      <c r="H18" s="11" t="s">
        <v>45</v>
      </c>
    </row>
    <row r="19" ht="33" spans="1:8">
      <c r="A19" s="2">
        <v>18</v>
      </c>
      <c r="B19" s="8"/>
      <c r="C19" s="9"/>
      <c r="D19" s="10"/>
      <c r="E19" s="9"/>
      <c r="F19" s="13" t="s">
        <v>13</v>
      </c>
      <c r="G19" s="6">
        <v>20</v>
      </c>
      <c r="H19" s="11" t="s">
        <v>46</v>
      </c>
    </row>
    <row r="20" ht="16.5" spans="1:8">
      <c r="A20" s="2">
        <v>19</v>
      </c>
      <c r="B20" s="8"/>
      <c r="C20" s="4" t="s">
        <v>47</v>
      </c>
      <c r="D20" s="10"/>
      <c r="E20" s="4" t="s">
        <v>48</v>
      </c>
      <c r="F20" s="13" t="s">
        <v>12</v>
      </c>
      <c r="G20" s="6">
        <v>10</v>
      </c>
      <c r="H20" s="11" t="s">
        <v>49</v>
      </c>
    </row>
    <row r="21" ht="16.5" spans="1:8">
      <c r="A21" s="2">
        <v>20</v>
      </c>
      <c r="B21" s="8"/>
      <c r="C21" s="9"/>
      <c r="D21" s="10"/>
      <c r="E21" s="9"/>
      <c r="F21" s="13" t="s">
        <v>13</v>
      </c>
      <c r="G21" s="6">
        <v>12</v>
      </c>
      <c r="H21" s="11" t="s">
        <v>50</v>
      </c>
    </row>
    <row r="22" ht="33" spans="1:8">
      <c r="A22" s="2">
        <v>21</v>
      </c>
      <c r="B22" s="8"/>
      <c r="C22" s="5" t="s">
        <v>51</v>
      </c>
      <c r="D22" s="9"/>
      <c r="E22" s="5" t="s">
        <v>52</v>
      </c>
      <c r="F22" s="13" t="s">
        <v>12</v>
      </c>
      <c r="G22" s="6">
        <v>5</v>
      </c>
      <c r="H22" s="11" t="s">
        <v>53</v>
      </c>
    </row>
    <row r="23" ht="16.5" spans="1:8">
      <c r="A23" s="2">
        <v>22</v>
      </c>
      <c r="B23" s="14" t="s">
        <v>54</v>
      </c>
      <c r="C23" s="15" t="s">
        <v>55</v>
      </c>
      <c r="D23" s="16"/>
      <c r="E23" s="17"/>
      <c r="F23" s="18" t="s">
        <v>55</v>
      </c>
      <c r="G23" s="19">
        <f>ROUNDUP(SUM(G2:G22)*0.15,0)</f>
        <v>23</v>
      </c>
      <c r="H23" s="20" t="s">
        <v>56</v>
      </c>
    </row>
    <row r="24" ht="16.5" spans="1:8">
      <c r="A24" s="2">
        <v>23</v>
      </c>
      <c r="B24" s="18" t="s">
        <v>57</v>
      </c>
      <c r="C24" s="15" t="s">
        <v>55</v>
      </c>
      <c r="D24" s="16"/>
      <c r="E24" s="17"/>
      <c r="F24" s="18" t="s">
        <v>55</v>
      </c>
      <c r="G24" s="21">
        <v>5</v>
      </c>
      <c r="H24" s="22" t="s">
        <v>58</v>
      </c>
    </row>
    <row r="25" ht="16.5" spans="1:8">
      <c r="A25" s="2">
        <v>24</v>
      </c>
      <c r="B25" s="18" t="s">
        <v>59</v>
      </c>
      <c r="C25" s="15" t="s">
        <v>55</v>
      </c>
      <c r="D25" s="16"/>
      <c r="E25" s="17"/>
      <c r="F25" s="18" t="s">
        <v>55</v>
      </c>
      <c r="G25" s="21">
        <v>8</v>
      </c>
      <c r="H25" s="22"/>
    </row>
    <row r="26" ht="16.5" spans="1:8">
      <c r="A26" s="23"/>
      <c r="B26" s="23"/>
      <c r="C26" s="23"/>
      <c r="D26" s="23"/>
      <c r="E26" s="23"/>
      <c r="F26" s="24" t="s">
        <v>60</v>
      </c>
      <c r="G26" s="25">
        <f>ROUNDUP(SUM(G2:G25),0)</f>
        <v>188</v>
      </c>
      <c r="H26" s="23"/>
    </row>
  </sheetData>
  <mergeCells count="24">
    <mergeCell ref="C23:E23"/>
    <mergeCell ref="C24:E24"/>
    <mergeCell ref="C25:E25"/>
    <mergeCell ref="B2:B22"/>
    <mergeCell ref="C2:C3"/>
    <mergeCell ref="C5:C6"/>
    <mergeCell ref="C7:C8"/>
    <mergeCell ref="C9:C10"/>
    <mergeCell ref="C12:C13"/>
    <mergeCell ref="C14:C15"/>
    <mergeCell ref="C16:C17"/>
    <mergeCell ref="C18:C19"/>
    <mergeCell ref="C20:C21"/>
    <mergeCell ref="D2:D11"/>
    <mergeCell ref="D12:D22"/>
    <mergeCell ref="E2:E3"/>
    <mergeCell ref="E5:E6"/>
    <mergeCell ref="E7:E8"/>
    <mergeCell ref="E9:E10"/>
    <mergeCell ref="E12:E13"/>
    <mergeCell ref="E14:E15"/>
    <mergeCell ref="E16:E17"/>
    <mergeCell ref="E18:E19"/>
    <mergeCell ref="E20:E2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工时估算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ｍｉｎｇ</cp:lastModifiedBy>
  <dcterms:created xsi:type="dcterms:W3CDTF">2026-07-10T06:54:00Z</dcterms:created>
  <dcterms:modified xsi:type="dcterms:W3CDTF">2026-07-10T09:32:22Z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2052-12.1.0.26884</vt:lpwstr>
  </property>
  <property fmtid="{D5CDD505-2E9C-101B-9397-08002B2CF9AE}" pid="3" name="CalculationRule">
    <vt:i4>0</vt:i4>
  </property>
  <property fmtid="{D5CDD505-2E9C-101B-9397-08002B2CF9AE}" pid="4" name="ICV">
    <vt:lpwstr>C0B61B34B6D34511A72471998343E67C_12</vt:lpwstr>
  </property>
</Properties>
</file>
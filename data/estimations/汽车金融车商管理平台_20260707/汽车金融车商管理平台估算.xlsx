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估算明细" sheetId="1" r:id="rId1"/>
    <sheet name="人员投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<sst xmlns="http://schemas.openxmlformats.org/spreadsheetml/2006/main" count="172" uniqueCount="111">
  <si>
    <t>No.</t>
  </si>
  <si>
    <t>模块</t>
  </si>
  <si>
    <t>功能</t>
  </si>
  <si>
    <t>端侧</t>
  </si>
  <si>
    <t>工时：人日</t>
  </si>
  <si>
    <t>备注</t>
  </si>
  <si>
    <t>开发</t>
  </si>
  <si>
    <t>测试</t>
  </si>
  <si>
    <t>合计</t>
  </si>
  <si>
    <t>系统管理</t>
  </si>
  <si>
    <t>部门/角色/用户/岗位/菜单/公告/日志</t>
  </si>
  <si>
    <t>PC</t>
  </si>
  <si>
    <t>产品功能已具备：1、主要工作量需要测试工程师验证功能以及客户数据;2、如有BUG需修复</t>
  </si>
  <si>
    <t>工作台</t>
  </si>
  <si>
    <t>常用入口/通知公告</t>
  </si>
  <si>
    <t>渠道管理-车商入驻</t>
  </si>
  <si>
    <t>申请/协议模板/审核/账号生成</t>
  </si>
  <si>
    <t>产品功能已具备,需要做客制化改动</t>
  </si>
  <si>
    <t>线上签署</t>
  </si>
  <si>
    <t>短信</t>
  </si>
  <si>
    <t>企微消息通知</t>
  </si>
  <si>
    <t>企微</t>
  </si>
  <si>
    <t>车商人员信息维护</t>
  </si>
  <si>
    <t>APP</t>
  </si>
  <si>
    <t>渠道管理-车商退出</t>
  </si>
  <si>
    <t>预退出/预退出审核/退出申请/退出审核</t>
  </si>
  <si>
    <t>渠道管理-车商信息管理</t>
  </si>
  <si>
    <t>信息列表/查看/修改/历史记录/合同协议管理</t>
  </si>
  <si>
    <t>渠道管理-其他</t>
  </si>
  <si>
    <t>资方/合作方维护</t>
  </si>
  <si>
    <t>金融产品管理-产品配置</t>
  </si>
  <si>
    <t>车型库/产品配置/车商分组</t>
  </si>
  <si>
    <t>产品功能已具备，客户需求与产品差异较大，产品更复杂，客户需求更简单</t>
  </si>
  <si>
    <t>金融产品查询</t>
  </si>
  <si>
    <t>金融产品管理-计算器</t>
  </si>
  <si>
    <t>金融产品试算</t>
  </si>
  <si>
    <t>还款计划试算</t>
  </si>
  <si>
    <t>风控</t>
  </si>
  <si>
    <t>黑名单/重复校验</t>
  </si>
  <si>
    <t>产品功能已具备，可复用，开发几乎没有工作量，主要在测试</t>
  </si>
  <si>
    <t>贷中-请款</t>
  </si>
  <si>
    <t>申请/登记上传</t>
  </si>
  <si>
    <t>审核/记录查询</t>
  </si>
  <si>
    <t>贷前-预审进件管理</t>
  </si>
  <si>
    <t>预审单生成/代填/修改/提交/登记/进件查询</t>
  </si>
  <si>
    <t>新功能，需定制化开发</t>
  </si>
  <si>
    <t>客户扫码填写预审单信息/多语言/进件查询</t>
  </si>
  <si>
    <t>小程序</t>
  </si>
  <si>
    <t>当地语言就是新疆的语言，可以提供初版翻译，用户支持人员确认</t>
  </si>
  <si>
    <t>预审单分配/审核/智能推荐/进件提交/单据维护/进件查询</t>
  </si>
  <si>
    <t>智能推荐规则？按照客户贷款年限、贷款额、客户等级、利率推荐金融产品或资方</t>
  </si>
  <si>
    <t>保险管理</t>
  </si>
  <si>
    <t>线索生成/处理</t>
  </si>
  <si>
    <t>客户管理</t>
  </si>
  <si>
    <t>客户信息维护</t>
  </si>
  <si>
    <t>资产管理</t>
  </si>
  <si>
    <t>GPS信息维护/车辆抵押信息维护/客户车辆查询</t>
  </si>
  <si>
    <t>GPS 安装信息，不用对接三方，界面提供手工维护功能即可</t>
  </si>
  <si>
    <t>客户车辆/保险信息维护</t>
  </si>
  <si>
    <t>车商生态服务</t>
  </si>
  <si>
    <t>8个接口对接/调用服务清单/费用维护</t>
  </si>
  <si>
    <t>调用服务清单</t>
  </si>
  <si>
    <t>财务管理-车商佣金</t>
  </si>
  <si>
    <t>规则配置/计算/确认/明细查询</t>
  </si>
  <si>
    <t>明细查询</t>
  </si>
  <si>
    <t>财务管理-车商生态服务费</t>
  </si>
  <si>
    <t>结算单生成/确认/明细查询</t>
  </si>
  <si>
    <t>财务管理-其他功能</t>
  </si>
  <si>
    <t>费用类型/发票维护/凭证上传/费用维护</t>
  </si>
  <si>
    <t>运营管理-卡券</t>
  </si>
  <si>
    <t>卡券维护/发放/核销记录</t>
  </si>
  <si>
    <t>暂不核销卡券，实现发放功能，界面上提供状态维护功能即可</t>
  </si>
  <si>
    <t>我的卡券</t>
  </si>
  <si>
    <t>运营管理-车商圈</t>
  </si>
  <si>
    <t>帖子发布/我的帖子</t>
  </si>
  <si>
    <t>贴子审核</t>
  </si>
  <si>
    <t>运营管理-APP公告</t>
  </si>
  <si>
    <t>公告维护/审核</t>
  </si>
  <si>
    <t>公告展示</t>
  </si>
  <si>
    <t>小程序（布局）</t>
  </si>
  <si>
    <t>首页/预审/我的/申请查看/登录/注册/注销</t>
  </si>
  <si>
    <t>车商APP（布局）</t>
  </si>
  <si>
    <t>首页/线索/我的</t>
  </si>
  <si>
    <t>报表分析</t>
  </si>
  <si>
    <t>经营/产品</t>
  </si>
  <si>
    <t>业绩</t>
  </si>
  <si>
    <t>数据迁移</t>
  </si>
  <si>
    <t>基本数据导入</t>
  </si>
  <si>
    <t>业务数据清洗，导入</t>
  </si>
  <si>
    <t>数据迁移数据量可参考马英经理发出的需求文档中，关于非功能需求的描述。</t>
  </si>
  <si>
    <t>功能设计</t>
  </si>
  <si>
    <t>UI设计</t>
  </si>
  <si>
    <t>客户验收/用户手册/上线准备</t>
  </si>
  <si>
    <t>上线跟踪</t>
  </si>
  <si>
    <t>管理工时</t>
  </si>
  <si>
    <t>（人日）</t>
  </si>
  <si>
    <t>（人月）</t>
  </si>
  <si>
    <t>角色</t>
  </si>
  <si>
    <t>人日</t>
  </si>
  <si>
    <t>人月</t>
  </si>
  <si>
    <t>设计</t>
  </si>
  <si>
    <t>UI</t>
  </si>
  <si>
    <t>PM</t>
  </si>
  <si>
    <t>月份</t>
  </si>
  <si>
    <t>周期</t>
  </si>
  <si>
    <t>需求</t>
  </si>
  <si>
    <t>UAT/上线</t>
  </si>
  <si>
    <t>运维</t>
  </si>
  <si>
    <t>设计/用例</t>
  </si>
  <si>
    <t>开发-前端</t>
  </si>
  <si>
    <t>开发-后端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</si>
</sst>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;@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16" borderId="9">
      <alignment vertical="center"/>
    </xf>
    <xf numFmtId="0" fontId="13" fillId="17" borderId="10">
      <alignment vertical="center"/>
    </xf>
    <xf numFmtId="0" fontId="14" fillId="17" borderId="9">
      <alignment vertical="center"/>
    </xf>
    <xf numFmtId="0" fontId="15" fillId="1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6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21" fillId="40" borderId="0">
      <alignment vertical="center"/>
    </xf>
    <xf numFmtId="0" fontId="21" fillId="41" borderId="0">
      <alignment vertical="center"/>
    </xf>
    <xf numFmtId="0" fontId="22" fillId="42" borderId="0">
      <alignment vertical="center"/>
    </xf>
    <xf numFmtId="0" fontId="22" fillId="9" borderId="0">
      <alignment vertical="center"/>
    </xf>
    <xf numFmtId="0" fontId="21" fillId="7" borderId="0">
      <alignment vertical="center"/>
    </xf>
  </cellStyleXfs>
  <cellXfs count="3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right"/>
    </xf>
    <xf numFmtId="176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4" xfId="0" applyFont="1" applyFill="1" applyBorder="1" applyAlignment="1">
      <alignment horizontal="left" vertical="center"/>
    </xf>
    <xf numFmtId="0" fontId="2" fillId="14" borderId="5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18</xdr:col>
      <xdr:colOff>257175</xdr:colOff>
      <xdr:row>29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295650"/>
          <a:ext cx="11658600" cy="2105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2"/>
  <sheetViews>
    <sheetView tabSelected="1" workbookViewId="0">
      <pane ySplit="3" topLeftCell="A4" activePane="bottomLeft" state="frozen"/>
      <selection/>
      <selection pane="bottomLeft" activeCell="G6" sqref="G6"/>
    </sheetView>
  </sheetViews>
  <sheetFormatPr defaultColWidth="9" defaultRowHeight="13.5"/>
  <cols>
    <col min="1" max="1" width="3" customWidth="1"/>
    <col min="3" max="3" width="27.125" customWidth="1"/>
    <col min="4" max="4" width="53.875" customWidth="1"/>
    <col min="5" max="5" width="7" customWidth="1"/>
    <col min="6" max="6" width="5.125" customWidth="1"/>
    <col min="7" max="8" width="5.875" customWidth="1"/>
    <col min="9" max="9" width="87.75" customWidth="1"/>
  </cols>
  <sheetData>
    <row r="2" customFormat="1" ht="16.5" spans="2:9">
      <c r="B2" s="20" t="s">
        <v>0</v>
      </c>
      <c r="C2" s="20" t="s">
        <v>1</v>
      </c>
      <c r="D2" s="20" t="s">
        <v>2</v>
      </c>
      <c r="E2" s="20" t="s">
        <v>3</v>
      </c>
      <c r="F2" s="21" t="s">
        <v>4</v>
      </c>
      <c r="G2" s="21"/>
      <c r="H2" s="21"/>
      <c r="I2" s="22" t="s">
        <v>5</v>
      </c>
    </row>
    <row r="3" customFormat="1" ht="16.5" spans="2:9">
      <c r="B3" s="20"/>
      <c r="C3" s="20"/>
      <c r="D3" s="20"/>
      <c r="E3" s="20"/>
      <c r="F3" s="21" t="s">
        <v>6</v>
      </c>
      <c r="G3" s="21" t="s">
        <v>7</v>
      </c>
      <c r="H3" s="21" t="s">
        <v>8</v>
      </c>
      <c r="I3" s="22"/>
    </row>
    <row r="4" customFormat="1" ht="16.5" spans="2:9">
      <c r="B4" s="23">
        <v>1</v>
      </c>
      <c r="C4" s="24" t="s">
        <v>9</v>
      </c>
      <c r="D4" s="25" t="s">
        <v>10</v>
      </c>
      <c r="E4" s="23" t="s">
        <v>11</v>
      </c>
      <c r="F4" s="25"/>
      <c r="G4" s="25">
        <v>20</v>
      </c>
      <c r="H4" s="18">
        <v>20</v>
      </c>
      <c r="I4" s="26" t="s">
        <v>12</v>
      </c>
    </row>
    <row r="5" customFormat="1" ht="16.5" spans="2:9">
      <c r="B5" s="23">
        <v>2</v>
      </c>
      <c r="C5" s="24" t="s">
        <v>13</v>
      </c>
      <c r="D5" s="25" t="s">
        <v>14</v>
      </c>
      <c r="E5" s="23" t="s">
        <v>11</v>
      </c>
      <c r="F5" s="25"/>
      <c r="G5" s="25">
        <v>4</v>
      </c>
      <c r="H5" s="18">
        <v>4</v>
      </c>
      <c r="I5" s="25"/>
    </row>
    <row r="6" customFormat="1" ht="16.5" spans="2:9">
      <c r="B6" s="23">
        <v>3</v>
      </c>
      <c r="C6" s="24" t="s">
        <v>15</v>
      </c>
      <c r="D6" s="25" t="s">
        <v>16</v>
      </c>
      <c r="E6" s="23" t="s">
        <v>11</v>
      </c>
      <c r="F6" s="25">
        <v>8</v>
      </c>
      <c r="G6" s="25">
        <v>8</v>
      </c>
      <c r="H6" s="18">
        <v>16</v>
      </c>
      <c r="I6" s="26" t="s">
        <v>17</v>
      </c>
    </row>
    <row r="7" customFormat="1" ht="16.5" spans="2:9">
      <c r="B7" s="27">
        <v>4</v>
      </c>
      <c r="C7" s="24"/>
      <c r="D7" s="28" t="s">
        <v>18</v>
      </c>
      <c r="E7" s="27" t="s">
        <v>19</v>
      </c>
      <c r="F7" s="28">
        <v>6</v>
      </c>
      <c r="G7" s="28">
        <v>1.5</v>
      </c>
      <c r="H7" s="29">
        <v>7.5</v>
      </c>
      <c r="I7" s="25"/>
    </row>
    <row r="8" customFormat="1" ht="16.5" spans="2:9">
      <c r="B8" s="27">
        <v>5</v>
      </c>
      <c r="C8" s="24"/>
      <c r="D8" s="28" t="s">
        <v>20</v>
      </c>
      <c r="E8" s="27" t="s">
        <v>21</v>
      </c>
      <c r="F8" s="28">
        <v>4</v>
      </c>
      <c r="G8" s="28">
        <v>0.5</v>
      </c>
      <c r="H8" s="29">
        <v>4.5</v>
      </c>
      <c r="I8" s="25"/>
    </row>
    <row r="9" customFormat="1" ht="16.5" spans="2:9">
      <c r="B9" s="23">
        <v>6</v>
      </c>
      <c r="C9" s="24"/>
      <c r="D9" s="25" t="s">
        <v>22</v>
      </c>
      <c r="E9" s="23" t="s">
        <v>23</v>
      </c>
      <c r="F9" s="25"/>
      <c r="G9" s="25">
        <v>8</v>
      </c>
      <c r="H9" s="18">
        <v>8</v>
      </c>
      <c r="I9" s="25"/>
    </row>
    <row r="10" customFormat="1" ht="16.5" spans="2:9">
      <c r="B10" s="23">
        <v>7</v>
      </c>
      <c r="C10" s="30" t="s">
        <v>24</v>
      </c>
      <c r="D10" s="25" t="s">
        <v>25</v>
      </c>
      <c r="E10" s="23" t="s">
        <v>11</v>
      </c>
      <c r="F10" s="25"/>
      <c r="G10" s="25">
        <v>20</v>
      </c>
      <c r="H10" s="18">
        <v>20</v>
      </c>
      <c r="I10" s="25"/>
    </row>
    <row r="11" customFormat="1" ht="16.5" spans="2:9">
      <c r="B11" s="27">
        <v>8</v>
      </c>
      <c r="C11" s="31"/>
      <c r="D11" s="28" t="s">
        <v>20</v>
      </c>
      <c r="E11" s="27" t="s">
        <v>21</v>
      </c>
      <c r="F11" s="28">
        <v>4</v>
      </c>
      <c r="G11" s="28">
        <v>0.5</v>
      </c>
      <c r="H11" s="29">
        <v>4.5</v>
      </c>
      <c r="I11" s="25"/>
    </row>
    <row r="12" customFormat="1" ht="16.5" spans="2:9">
      <c r="B12" s="23">
        <v>9</v>
      </c>
      <c r="C12" s="24" t="s">
        <v>26</v>
      </c>
      <c r="D12" s="25" t="s">
        <v>27</v>
      </c>
      <c r="E12" s="23" t="s">
        <v>11</v>
      </c>
      <c r="F12" s="25"/>
      <c r="G12" s="25">
        <v>12</v>
      </c>
      <c r="H12" s="18">
        <v>12</v>
      </c>
      <c r="I12" s="25"/>
    </row>
    <row r="13" customFormat="1" ht="16.5" spans="2:9">
      <c r="B13" s="23">
        <v>10</v>
      </c>
      <c r="C13" s="24" t="s">
        <v>28</v>
      </c>
      <c r="D13" s="25" t="s">
        <v>29</v>
      </c>
      <c r="E13" s="23" t="s">
        <v>11</v>
      </c>
      <c r="F13" s="25"/>
      <c r="G13" s="25">
        <v>8</v>
      </c>
      <c r="H13" s="18">
        <v>8</v>
      </c>
      <c r="I13" s="25"/>
    </row>
    <row r="14" customFormat="1" ht="16.5" spans="2:9">
      <c r="B14" s="23">
        <v>11</v>
      </c>
      <c r="C14" s="24" t="s">
        <v>30</v>
      </c>
      <c r="D14" s="25" t="s">
        <v>31</v>
      </c>
      <c r="E14" s="23" t="s">
        <v>11</v>
      </c>
      <c r="F14" s="25">
        <v>18</v>
      </c>
      <c r="G14" s="25">
        <v>3.5</v>
      </c>
      <c r="H14" s="18">
        <v>21.5</v>
      </c>
      <c r="I14" s="25" t="s">
        <v>32</v>
      </c>
    </row>
    <row r="15" customFormat="1" ht="16.5" spans="2:9">
      <c r="B15" s="23">
        <v>12</v>
      </c>
      <c r="C15" s="24"/>
      <c r="D15" s="25" t="s">
        <v>33</v>
      </c>
      <c r="E15" s="23" t="s">
        <v>23</v>
      </c>
      <c r="F15" s="25">
        <v>4</v>
      </c>
      <c r="G15" s="25">
        <v>1</v>
      </c>
      <c r="H15" s="18">
        <v>5</v>
      </c>
      <c r="I15" s="25"/>
    </row>
    <row r="16" customFormat="1" ht="16.5" spans="2:9">
      <c r="B16" s="23">
        <v>13</v>
      </c>
      <c r="C16" s="24" t="s">
        <v>34</v>
      </c>
      <c r="D16" s="25" t="s">
        <v>35</v>
      </c>
      <c r="E16" s="23" t="s">
        <v>11</v>
      </c>
      <c r="F16" s="25">
        <v>2</v>
      </c>
      <c r="G16" s="25">
        <v>0.5</v>
      </c>
      <c r="H16" s="18">
        <v>2.5</v>
      </c>
      <c r="I16" s="25"/>
    </row>
    <row r="17" customFormat="1" ht="16.5" spans="2:9">
      <c r="B17" s="23">
        <v>14</v>
      </c>
      <c r="C17" s="24"/>
      <c r="D17" s="25" t="s">
        <v>36</v>
      </c>
      <c r="E17" s="23" t="s">
        <v>23</v>
      </c>
      <c r="F17" s="25">
        <v>4</v>
      </c>
      <c r="G17" s="25">
        <v>1</v>
      </c>
      <c r="H17" s="18">
        <v>5</v>
      </c>
      <c r="I17" s="25"/>
    </row>
    <row r="18" customFormat="1" ht="16.5" spans="2:9">
      <c r="B18" s="23">
        <v>15</v>
      </c>
      <c r="C18" s="24" t="s">
        <v>37</v>
      </c>
      <c r="D18" s="25" t="s">
        <v>38</v>
      </c>
      <c r="E18" s="23" t="s">
        <v>11</v>
      </c>
      <c r="F18" s="25"/>
      <c r="G18" s="25">
        <v>4</v>
      </c>
      <c r="H18" s="18">
        <v>4</v>
      </c>
      <c r="I18" s="25" t="s">
        <v>39</v>
      </c>
    </row>
    <row r="19" customFormat="1" ht="16.5" spans="2:9">
      <c r="B19" s="23">
        <v>16</v>
      </c>
      <c r="C19" s="24" t="s">
        <v>40</v>
      </c>
      <c r="D19" s="25" t="s">
        <v>41</v>
      </c>
      <c r="E19" s="23" t="s">
        <v>23</v>
      </c>
      <c r="F19" s="25">
        <v>8</v>
      </c>
      <c r="G19" s="25">
        <v>8</v>
      </c>
      <c r="H19" s="18">
        <v>16</v>
      </c>
      <c r="I19" s="26" t="s">
        <v>17</v>
      </c>
    </row>
    <row r="20" customFormat="1" ht="16.5" spans="2:9">
      <c r="B20" s="23">
        <v>17</v>
      </c>
      <c r="C20" s="24"/>
      <c r="D20" s="25" t="s">
        <v>42</v>
      </c>
      <c r="E20" s="23" t="s">
        <v>11</v>
      </c>
      <c r="F20" s="25">
        <v>4</v>
      </c>
      <c r="G20" s="25">
        <v>4</v>
      </c>
      <c r="H20" s="18">
        <v>8</v>
      </c>
      <c r="I20" s="25"/>
    </row>
    <row r="21" customFormat="1" ht="16.5" spans="2:9">
      <c r="B21" s="27">
        <v>18</v>
      </c>
      <c r="C21" s="32" t="s">
        <v>43</v>
      </c>
      <c r="D21" s="28" t="s">
        <v>44</v>
      </c>
      <c r="E21" s="27" t="s">
        <v>23</v>
      </c>
      <c r="F21" s="28">
        <v>24</v>
      </c>
      <c r="G21" s="28">
        <v>6</v>
      </c>
      <c r="H21" s="29">
        <v>30</v>
      </c>
      <c r="I21" s="25" t="s">
        <v>45</v>
      </c>
    </row>
    <row r="22" customFormat="1" ht="16.5" spans="2:9">
      <c r="B22" s="27">
        <v>19</v>
      </c>
      <c r="C22" s="32"/>
      <c r="D22" s="28" t="s">
        <v>46</v>
      </c>
      <c r="E22" s="27" t="s">
        <v>47</v>
      </c>
      <c r="F22" s="28">
        <v>10</v>
      </c>
      <c r="G22" s="28">
        <v>2.5</v>
      </c>
      <c r="H22" s="29">
        <v>12.5</v>
      </c>
      <c r="I22" s="25" t="s">
        <v>48</v>
      </c>
    </row>
    <row r="23" customFormat="1" ht="16.5" spans="2:9">
      <c r="B23" s="27">
        <v>20</v>
      </c>
      <c r="C23" s="32"/>
      <c r="D23" s="28" t="s">
        <v>49</v>
      </c>
      <c r="E23" s="27" t="s">
        <v>11</v>
      </c>
      <c r="F23" s="28">
        <v>50</v>
      </c>
      <c r="G23" s="28">
        <v>12.5</v>
      </c>
      <c r="H23" s="29">
        <v>62.5</v>
      </c>
      <c r="I23" s="25" t="s">
        <v>50</v>
      </c>
    </row>
    <row r="24" customFormat="1" ht="16.5" spans="2:9">
      <c r="B24" s="27">
        <v>21</v>
      </c>
      <c r="C24" s="32" t="s">
        <v>51</v>
      </c>
      <c r="D24" s="28" t="s">
        <v>52</v>
      </c>
      <c r="E24" s="27" t="s">
        <v>11</v>
      </c>
      <c r="F24" s="28">
        <v>12</v>
      </c>
      <c r="G24" s="28">
        <v>3</v>
      </c>
      <c r="H24" s="29">
        <v>15</v>
      </c>
      <c r="I24" s="25"/>
    </row>
    <row r="25" customFormat="1" ht="16.5" spans="2:9">
      <c r="B25" s="27">
        <v>22</v>
      </c>
      <c r="C25" s="32" t="s">
        <v>53</v>
      </c>
      <c r="D25" s="28" t="s">
        <v>54</v>
      </c>
      <c r="E25" s="27" t="s">
        <v>11</v>
      </c>
      <c r="F25" s="28">
        <v>10</v>
      </c>
      <c r="G25" s="28">
        <v>2.5</v>
      </c>
      <c r="H25" s="29">
        <v>12.5</v>
      </c>
      <c r="I25" s="25"/>
    </row>
    <row r="26" customFormat="1" ht="16.5" spans="2:9">
      <c r="B26" s="27">
        <v>23</v>
      </c>
      <c r="C26" s="32" t="s">
        <v>55</v>
      </c>
      <c r="D26" s="28" t="s">
        <v>56</v>
      </c>
      <c r="E26" s="27" t="s">
        <v>23</v>
      </c>
      <c r="F26" s="28">
        <v>14</v>
      </c>
      <c r="G26" s="28">
        <v>3.5</v>
      </c>
      <c r="H26" s="29">
        <v>17.5</v>
      </c>
      <c r="I26" s="25" t="s">
        <v>57</v>
      </c>
    </row>
    <row r="27" customFormat="1" ht="16.5" spans="2:9">
      <c r="B27" s="27">
        <v>24</v>
      </c>
      <c r="C27" s="32"/>
      <c r="D27" s="28" t="s">
        <v>58</v>
      </c>
      <c r="E27" s="27" t="s">
        <v>11</v>
      </c>
      <c r="F27" s="28">
        <v>14</v>
      </c>
      <c r="G27" s="28">
        <v>3.5</v>
      </c>
      <c r="H27" s="29">
        <v>17.5</v>
      </c>
      <c r="I27" s="25"/>
    </row>
    <row r="28" customFormat="1" ht="16.5" spans="2:9">
      <c r="B28" s="27">
        <v>25</v>
      </c>
      <c r="C28" s="32" t="s">
        <v>59</v>
      </c>
      <c r="D28" s="28" t="s">
        <v>60</v>
      </c>
      <c r="E28" s="27" t="s">
        <v>11</v>
      </c>
      <c r="F28" s="28">
        <v>36</v>
      </c>
      <c r="G28" s="28">
        <v>9</v>
      </c>
      <c r="H28" s="29">
        <v>45</v>
      </c>
      <c r="I28" s="25"/>
    </row>
    <row r="29" customFormat="1" ht="16.5" spans="2:9">
      <c r="B29" s="27">
        <v>26</v>
      </c>
      <c r="C29" s="32"/>
      <c r="D29" s="28" t="s">
        <v>61</v>
      </c>
      <c r="E29" s="27" t="s">
        <v>23</v>
      </c>
      <c r="F29" s="28">
        <v>10</v>
      </c>
      <c r="G29" s="28">
        <v>2.5</v>
      </c>
      <c r="H29" s="29">
        <v>12.5</v>
      </c>
      <c r="I29" s="25"/>
    </row>
    <row r="30" customFormat="1" ht="16.5" spans="2:9">
      <c r="B30" s="27">
        <v>27</v>
      </c>
      <c r="C30" s="32" t="s">
        <v>62</v>
      </c>
      <c r="D30" s="28" t="s">
        <v>63</v>
      </c>
      <c r="E30" s="27" t="s">
        <v>11</v>
      </c>
      <c r="F30" s="28">
        <v>16</v>
      </c>
      <c r="G30" s="28">
        <v>4</v>
      </c>
      <c r="H30" s="29">
        <v>20</v>
      </c>
      <c r="I30" s="25"/>
    </row>
    <row r="31" customFormat="1" ht="16.5" spans="2:9">
      <c r="B31" s="27">
        <v>28</v>
      </c>
      <c r="C31" s="32"/>
      <c r="D31" s="28" t="s">
        <v>64</v>
      </c>
      <c r="E31" s="27" t="s">
        <v>23</v>
      </c>
      <c r="F31" s="28">
        <v>6</v>
      </c>
      <c r="G31" s="28">
        <v>1.5</v>
      </c>
      <c r="H31" s="29">
        <v>7.5</v>
      </c>
      <c r="I31" s="25"/>
    </row>
    <row r="32" customFormat="1" ht="16.5" spans="2:9">
      <c r="B32" s="27">
        <v>29</v>
      </c>
      <c r="C32" s="32" t="s">
        <v>65</v>
      </c>
      <c r="D32" s="28" t="s">
        <v>66</v>
      </c>
      <c r="E32" s="27" t="s">
        <v>11</v>
      </c>
      <c r="F32" s="28">
        <v>16</v>
      </c>
      <c r="G32" s="28">
        <v>4</v>
      </c>
      <c r="H32" s="29">
        <v>20</v>
      </c>
      <c r="I32" s="25"/>
    </row>
    <row r="33" customFormat="1" ht="16.5" spans="2:9">
      <c r="B33" s="27">
        <v>30</v>
      </c>
      <c r="C33" s="32"/>
      <c r="D33" s="28" t="s">
        <v>64</v>
      </c>
      <c r="E33" s="27" t="s">
        <v>23</v>
      </c>
      <c r="F33" s="28">
        <v>6</v>
      </c>
      <c r="G33" s="28">
        <v>1.5</v>
      </c>
      <c r="H33" s="29">
        <v>7.5</v>
      </c>
      <c r="I33" s="25"/>
    </row>
    <row r="34" customFormat="1" ht="16.5" spans="2:9">
      <c r="B34" s="27">
        <v>31</v>
      </c>
      <c r="C34" s="32" t="s">
        <v>67</v>
      </c>
      <c r="D34" s="28" t="s">
        <v>68</v>
      </c>
      <c r="E34" s="27" t="s">
        <v>11</v>
      </c>
      <c r="F34" s="28">
        <v>20</v>
      </c>
      <c r="G34" s="28">
        <v>5</v>
      </c>
      <c r="H34" s="29">
        <v>25</v>
      </c>
      <c r="I34" s="25"/>
    </row>
    <row r="35" customFormat="1" ht="16.5" spans="2:9">
      <c r="B35" s="27">
        <v>32</v>
      </c>
      <c r="C35" s="32"/>
      <c r="D35" s="28" t="s">
        <v>68</v>
      </c>
      <c r="E35" s="27" t="s">
        <v>23</v>
      </c>
      <c r="F35" s="28">
        <v>26</v>
      </c>
      <c r="G35" s="28">
        <v>6.5</v>
      </c>
      <c r="H35" s="29">
        <v>32.5</v>
      </c>
      <c r="I35" s="25"/>
    </row>
    <row r="36" customFormat="1" ht="16.5" spans="2:9">
      <c r="B36" s="27">
        <v>33</v>
      </c>
      <c r="C36" s="32" t="s">
        <v>69</v>
      </c>
      <c r="D36" s="28" t="s">
        <v>70</v>
      </c>
      <c r="E36" s="27" t="s">
        <v>11</v>
      </c>
      <c r="F36" s="28">
        <v>15</v>
      </c>
      <c r="G36" s="28">
        <v>4</v>
      </c>
      <c r="H36" s="29">
        <v>19</v>
      </c>
      <c r="I36" s="25" t="s">
        <v>71</v>
      </c>
    </row>
    <row r="37" customFormat="1" ht="16.5" spans="2:9">
      <c r="B37" s="27">
        <v>34</v>
      </c>
      <c r="C37" s="32"/>
      <c r="D37" s="28" t="s">
        <v>72</v>
      </c>
      <c r="E37" s="27" t="s">
        <v>23</v>
      </c>
      <c r="F37" s="28">
        <v>6</v>
      </c>
      <c r="G37" s="28">
        <v>1.5</v>
      </c>
      <c r="H37" s="29">
        <v>7.5</v>
      </c>
      <c r="I37" s="25"/>
    </row>
    <row r="38" customFormat="1" ht="16.5" spans="2:9">
      <c r="B38" s="27">
        <v>35</v>
      </c>
      <c r="C38" s="32" t="s">
        <v>73</v>
      </c>
      <c r="D38" s="28" t="s">
        <v>74</v>
      </c>
      <c r="E38" s="27" t="s">
        <v>23</v>
      </c>
      <c r="F38" s="28">
        <v>30</v>
      </c>
      <c r="G38" s="28">
        <v>7.5</v>
      </c>
      <c r="H38" s="29">
        <v>37.5</v>
      </c>
      <c r="I38" s="25"/>
    </row>
    <row r="39" customFormat="1" ht="16.5" spans="2:9">
      <c r="B39" s="27">
        <v>36</v>
      </c>
      <c r="C39" s="32"/>
      <c r="D39" s="28" t="s">
        <v>75</v>
      </c>
      <c r="E39" s="27" t="s">
        <v>11</v>
      </c>
      <c r="F39" s="28">
        <v>6</v>
      </c>
      <c r="G39" s="28">
        <v>1.5</v>
      </c>
      <c r="H39" s="29">
        <v>7.5</v>
      </c>
      <c r="I39" s="25"/>
    </row>
    <row r="40" customFormat="1" ht="16.5" spans="2:9">
      <c r="B40" s="27">
        <v>37</v>
      </c>
      <c r="C40" s="32" t="s">
        <v>76</v>
      </c>
      <c r="D40" s="28" t="s">
        <v>77</v>
      </c>
      <c r="E40" s="27" t="s">
        <v>11</v>
      </c>
      <c r="F40" s="28">
        <v>14</v>
      </c>
      <c r="G40" s="28">
        <v>3.5</v>
      </c>
      <c r="H40" s="29">
        <v>17.5</v>
      </c>
      <c r="I40" s="25"/>
    </row>
    <row r="41" customFormat="1" ht="16.5" spans="2:9">
      <c r="B41" s="27">
        <v>38</v>
      </c>
      <c r="C41" s="32"/>
      <c r="D41" s="28" t="s">
        <v>78</v>
      </c>
      <c r="E41" s="27" t="s">
        <v>23</v>
      </c>
      <c r="F41" s="28">
        <v>6</v>
      </c>
      <c r="G41" s="28">
        <v>1.5</v>
      </c>
      <c r="H41" s="29">
        <v>7.5</v>
      </c>
      <c r="I41" s="25"/>
    </row>
    <row r="42" customFormat="1" ht="16.5" spans="2:9">
      <c r="B42" s="27">
        <v>39</v>
      </c>
      <c r="C42" s="32" t="s">
        <v>79</v>
      </c>
      <c r="D42" s="28" t="s">
        <v>80</v>
      </c>
      <c r="E42" s="27" t="s">
        <v>47</v>
      </c>
      <c r="F42" s="28">
        <v>40</v>
      </c>
      <c r="G42" s="28">
        <v>10</v>
      </c>
      <c r="H42" s="29">
        <v>50</v>
      </c>
      <c r="I42" s="25"/>
    </row>
    <row r="43" customFormat="1" ht="16.5" spans="2:9">
      <c r="B43" s="27">
        <v>40</v>
      </c>
      <c r="C43" s="32" t="s">
        <v>81</v>
      </c>
      <c r="D43" s="28" t="s">
        <v>82</v>
      </c>
      <c r="E43" s="27" t="s">
        <v>23</v>
      </c>
      <c r="F43" s="28">
        <v>30</v>
      </c>
      <c r="G43" s="28">
        <v>7.5</v>
      </c>
      <c r="H43" s="29">
        <v>37.5</v>
      </c>
      <c r="I43" s="25"/>
    </row>
    <row r="44" customFormat="1" ht="16.5" spans="2:9">
      <c r="B44" s="27">
        <v>41</v>
      </c>
      <c r="C44" s="32" t="s">
        <v>83</v>
      </c>
      <c r="D44" s="28" t="s">
        <v>84</v>
      </c>
      <c r="E44" s="27" t="s">
        <v>11</v>
      </c>
      <c r="F44" s="28">
        <v>10</v>
      </c>
      <c r="G44" s="28">
        <v>3</v>
      </c>
      <c r="H44" s="29">
        <v>12.5</v>
      </c>
      <c r="I44" s="25"/>
    </row>
    <row r="45" customFormat="1" ht="16.5" spans="2:9">
      <c r="B45" s="27">
        <v>42</v>
      </c>
      <c r="C45" s="32"/>
      <c r="D45" s="28" t="s">
        <v>85</v>
      </c>
      <c r="E45" s="27" t="s">
        <v>23</v>
      </c>
      <c r="F45" s="28">
        <v>8</v>
      </c>
      <c r="G45" s="28">
        <v>2</v>
      </c>
      <c r="H45" s="29">
        <v>10</v>
      </c>
      <c r="I45" s="25"/>
    </row>
    <row r="46" customFormat="1" ht="16.5" spans="2:9">
      <c r="B46" s="27">
        <v>43</v>
      </c>
      <c r="C46" s="33" t="s">
        <v>86</v>
      </c>
      <c r="D46" s="32" t="s">
        <v>87</v>
      </c>
      <c r="E46" s="27" t="s">
        <v>11</v>
      </c>
      <c r="F46" s="28">
        <v>8</v>
      </c>
      <c r="G46" s="28">
        <v>2</v>
      </c>
      <c r="H46" s="29">
        <v>10</v>
      </c>
      <c r="I46" s="25"/>
    </row>
    <row r="47" customFormat="1" ht="16.5" spans="2:9">
      <c r="B47" s="27">
        <v>44</v>
      </c>
      <c r="C47" s="34"/>
      <c r="D47" s="32" t="s">
        <v>88</v>
      </c>
      <c r="E47" s="27" t="s">
        <v>11</v>
      </c>
      <c r="F47" s="28">
        <v>15</v>
      </c>
      <c r="G47" s="28">
        <v>4</v>
      </c>
      <c r="H47" s="29">
        <v>19</v>
      </c>
      <c r="I47" s="25" t="s">
        <v>89</v>
      </c>
    </row>
    <row r="48" customFormat="1" ht="16.5" spans="2:9">
      <c r="B48" s="27">
        <v>45</v>
      </c>
      <c r="C48" s="28" t="s">
        <v>90</v>
      </c>
      <c r="D48" s="28"/>
      <c r="E48" s="28"/>
      <c r="F48" s="28">
        <v>80</v>
      </c>
      <c r="G48" s="28"/>
      <c r="H48" s="29">
        <v>80</v>
      </c>
      <c r="I48" s="25"/>
    </row>
    <row r="49" customFormat="1" ht="16.5" spans="2:9">
      <c r="B49" s="27">
        <v>46</v>
      </c>
      <c r="C49" s="28" t="s">
        <v>91</v>
      </c>
      <c r="D49" s="28"/>
      <c r="E49" s="28"/>
      <c r="F49" s="28">
        <v>40</v>
      </c>
      <c r="G49" s="28"/>
      <c r="H49" s="29">
        <v>40</v>
      </c>
      <c r="I49" s="25"/>
    </row>
    <row r="50" customFormat="1" ht="16.5" spans="2:9">
      <c r="B50" s="27">
        <v>49</v>
      </c>
      <c r="C50" s="28" t="s">
        <v>92</v>
      </c>
      <c r="D50" s="28"/>
      <c r="E50" s="28"/>
      <c r="F50" s="28">
        <v>20</v>
      </c>
      <c r="G50" s="28">
        <v>20</v>
      </c>
      <c r="H50" s="29">
        <v>40</v>
      </c>
      <c r="I50" s="25"/>
    </row>
    <row r="51" customFormat="1" ht="16.5" spans="2:9">
      <c r="B51" s="27">
        <v>50</v>
      </c>
      <c r="C51" s="28" t="s">
        <v>93</v>
      </c>
      <c r="D51" s="28"/>
      <c r="E51" s="28"/>
      <c r="F51" s="28">
        <v>20</v>
      </c>
      <c r="G51" s="28"/>
      <c r="H51" s="29">
        <v>20</v>
      </c>
      <c r="I51" s="25"/>
    </row>
    <row r="52" customFormat="1" ht="16.5" spans="2:9">
      <c r="B52" s="27">
        <v>47</v>
      </c>
      <c r="C52" s="28" t="s">
        <v>94</v>
      </c>
      <c r="D52" s="28"/>
      <c r="E52" s="28"/>
      <c r="F52" s="28">
        <v>80</v>
      </c>
      <c r="G52" s="28"/>
      <c r="H52" s="29">
        <v>80</v>
      </c>
      <c r="I52" s="25"/>
    </row>
    <row r="53" customFormat="1" ht="16.5" spans="2:9">
      <c r="E53" s="35" t="s">
        <v>95</v>
      </c>
      <c r="F53" s="25">
        <f>SUM(F4:F52)</f>
        <v>760</v>
      </c>
      <c r="G53" s="25">
        <f>SUM(G4:G52)</f>
        <v>240</v>
      </c>
      <c r="H53" s="18">
        <f>SUM(H4:H52)</f>
        <v>999.5</v>
      </c>
    </row>
    <row r="54" customFormat="1" ht="16.5" spans="2:9">
      <c r="E54" s="35" t="s">
        <v>96</v>
      </c>
      <c r="F54" s="25">
        <f>F53/20</f>
        <v>38</v>
      </c>
      <c r="G54" s="25">
        <f>G53/20</f>
        <v>12</v>
      </c>
      <c r="H54" s="18">
        <f>H53/20</f>
        <v>49.975</v>
      </c>
    </row>
    <row r="56" customFormat="1" ht="15" spans="2:9">
      <c r="F56" s="6" t="s">
        <v>97</v>
      </c>
      <c r="G56" s="6" t="s">
        <v>98</v>
      </c>
      <c r="H56" s="6" t="s">
        <v>99</v>
      </c>
    </row>
    <row r="57" customFormat="1" ht="16.5" spans="2:9">
      <c r="F57" s="18" t="s">
        <v>6</v>
      </c>
      <c r="G57" s="25">
        <v>560</v>
      </c>
      <c r="H57" s="25">
        <f>G57/20</f>
        <v>28</v>
      </c>
    </row>
    <row r="58" ht="16.5" spans="2:9">
      <c r="F58" s="18" t="s">
        <v>100</v>
      </c>
      <c r="G58" s="25">
        <f>F48</f>
        <v>80</v>
      </c>
      <c r="H58" s="25">
        <f>G58/20</f>
        <v>4</v>
      </c>
    </row>
    <row r="59" ht="16.5" spans="2:9">
      <c r="F59" s="18" t="s">
        <v>101</v>
      </c>
      <c r="G59" s="25">
        <f>F49</f>
        <v>40</v>
      </c>
      <c r="H59" s="25">
        <f>G59/20</f>
        <v>2</v>
      </c>
    </row>
    <row r="60" ht="16.5" spans="2:9">
      <c r="F60" s="18" t="s">
        <v>7</v>
      </c>
      <c r="G60" s="25">
        <f>G53</f>
        <v>240</v>
      </c>
      <c r="H60" s="25">
        <f>G60/20</f>
        <v>12</v>
      </c>
    </row>
    <row r="61" ht="16.5" spans="2:9">
      <c r="F61" s="18" t="s">
        <v>102</v>
      </c>
      <c r="G61" s="25">
        <f>F52</f>
        <v>80</v>
      </c>
      <c r="H61" s="25">
        <f>G61/20</f>
        <v>4</v>
      </c>
    </row>
    <row r="62" ht="15" spans="2:9">
      <c r="F62" s="18" t="s">
        <v>8</v>
      </c>
      <c r="G62" s="18">
        <f>SUM(G57:G61)</f>
        <v>1000</v>
      </c>
      <c r="H62" s="18">
        <f>SUM(H57:H61)</f>
        <v>50</v>
      </c>
    </row>
  </sheetData>
  <mergeCells count="22">
    <mergeCell ref="F2:H2"/>
    <mergeCell ref="B2:B3"/>
    <mergeCell ref="C2:C3"/>
    <mergeCell ref="C6:C9"/>
    <mergeCell ref="C10:C11"/>
    <mergeCell ref="C14:C15"/>
    <mergeCell ref="C16:C17"/>
    <mergeCell ref="C19:C20"/>
    <mergeCell ref="C21:C23"/>
    <mergeCell ref="C26:C27"/>
    <mergeCell ref="C28:C29"/>
    <mergeCell ref="C30:C31"/>
    <mergeCell ref="C32:C33"/>
    <mergeCell ref="C34:C35"/>
    <mergeCell ref="C36:C37"/>
    <mergeCell ref="C38:C39"/>
    <mergeCell ref="C40:C41"/>
    <mergeCell ref="C44:C45"/>
    <mergeCell ref="C46:C47"/>
    <mergeCell ref="D2:D3"/>
    <mergeCell ref="E2:E3"/>
    <mergeCell ref="I2:I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2"/>
  <sheetViews>
    <sheetView workbookViewId="0">
      <selection activeCell="G35" sqref="G35"/>
    </sheetView>
  </sheetViews>
  <sheetFormatPr defaultColWidth="9" defaultRowHeight="13.5"/>
  <cols>
    <col min="2" max="2" width="9.625" customWidth="1"/>
    <col min="3" max="3" width="10" customWidth="1"/>
    <col min="4" max="4" width="9.75" customWidth="1"/>
    <col min="7" max="7" width="10" customWidth="1"/>
    <col min="9" max="9" width="5.875" customWidth="1"/>
    <col min="10" max="10" width="5.375" customWidth="1"/>
  </cols>
  <sheetData>
    <row r="2" ht="16.5" spans="2:11">
      <c r="B2" s="1" t="s">
        <v>103</v>
      </c>
      <c r="C2" s="2">
        <v>46235</v>
      </c>
      <c r="D2" s="2">
        <v>46266</v>
      </c>
      <c r="E2" s="2">
        <v>46296</v>
      </c>
      <c r="F2" s="2">
        <v>46327</v>
      </c>
      <c r="G2" s="2">
        <v>46357</v>
      </c>
      <c r="H2" s="2">
        <v>46388</v>
      </c>
      <c r="I2" s="3" t="s">
        <v>8</v>
      </c>
      <c r="J2" s="3"/>
      <c r="K2" s="4"/>
    </row>
    <row r="3" ht="16.5" spans="2:11">
      <c r="B3" s="5" t="s">
        <v>104</v>
      </c>
      <c r="C3" s="6" t="s">
        <v>105</v>
      </c>
      <c r="D3" s="7" t="s">
        <v>6</v>
      </c>
      <c r="E3" s="7"/>
      <c r="F3" s="7"/>
      <c r="G3" s="8" t="s">
        <v>106</v>
      </c>
      <c r="H3" s="9" t="s">
        <v>107</v>
      </c>
      <c r="I3" s="3"/>
      <c r="J3" s="3"/>
      <c r="K3" s="4"/>
    </row>
    <row r="4" ht="16.5" spans="2:11">
      <c r="B4" s="5"/>
      <c r="C4" s="6"/>
      <c r="D4" s="10" t="s">
        <v>108</v>
      </c>
      <c r="E4" s="11" t="s">
        <v>7</v>
      </c>
      <c r="F4" s="11"/>
      <c r="G4" s="8"/>
      <c r="H4" s="9"/>
      <c r="I4" s="3"/>
      <c r="J4" s="3"/>
      <c r="K4" s="4"/>
    </row>
    <row r="5" ht="16.5" spans="2:11">
      <c r="B5" s="12" t="s">
        <v>102</v>
      </c>
      <c r="C5" s="13">
        <v>1</v>
      </c>
      <c r="D5" s="14">
        <v>1</v>
      </c>
      <c r="E5" s="14">
        <v>0.5</v>
      </c>
      <c r="F5" s="14">
        <v>0.5</v>
      </c>
      <c r="G5" s="13">
        <v>1</v>
      </c>
      <c r="H5" s="14"/>
      <c r="I5" s="15">
        <v>4</v>
      </c>
      <c r="J5" s="16" t="s">
        <v>99</v>
      </c>
      <c r="K5" s="4"/>
    </row>
    <row r="6" ht="16.5" spans="2:11">
      <c r="B6" s="12" t="s">
        <v>90</v>
      </c>
      <c r="C6" s="14">
        <v>1</v>
      </c>
      <c r="D6" s="14">
        <v>2</v>
      </c>
      <c r="E6" s="14">
        <v>1</v>
      </c>
      <c r="F6" s="14"/>
      <c r="G6" s="14"/>
      <c r="H6" s="14"/>
      <c r="I6" s="15">
        <v>4</v>
      </c>
      <c r="J6" s="16" t="s">
        <v>99</v>
      </c>
      <c r="K6" s="4"/>
    </row>
    <row r="7" ht="16.5" spans="2:11">
      <c r="B7" s="12" t="s">
        <v>91</v>
      </c>
      <c r="C7" s="14">
        <v>0.5</v>
      </c>
      <c r="D7" s="14">
        <v>1</v>
      </c>
      <c r="E7" s="14">
        <v>0.5</v>
      </c>
      <c r="F7" s="14"/>
      <c r="G7" s="14"/>
      <c r="H7" s="14"/>
      <c r="I7" s="15">
        <v>2</v>
      </c>
      <c r="J7" s="16" t="s">
        <v>99</v>
      </c>
      <c r="K7" s="4"/>
    </row>
    <row r="8" ht="16.5" spans="2:11">
      <c r="B8" s="12" t="s">
        <v>7</v>
      </c>
      <c r="C8" s="14"/>
      <c r="D8" s="14">
        <v>4</v>
      </c>
      <c r="E8" s="14">
        <v>4</v>
      </c>
      <c r="F8" s="14">
        <v>3</v>
      </c>
      <c r="G8" s="13">
        <v>1</v>
      </c>
      <c r="H8" s="14"/>
      <c r="I8" s="15">
        <v>12</v>
      </c>
      <c r="J8" s="16" t="s">
        <v>99</v>
      </c>
      <c r="K8" s="4"/>
    </row>
    <row r="9" ht="16.5" spans="2:11">
      <c r="B9" s="12" t="s">
        <v>109</v>
      </c>
      <c r="C9" s="14"/>
      <c r="D9" s="14">
        <v>4</v>
      </c>
      <c r="E9" s="14">
        <v>5</v>
      </c>
      <c r="F9" s="14">
        <v>4</v>
      </c>
      <c r="G9" s="14">
        <v>0.5</v>
      </c>
      <c r="H9" s="14">
        <v>0.5</v>
      </c>
      <c r="I9" s="15">
        <v>14</v>
      </c>
      <c r="J9" s="16" t="s">
        <v>99</v>
      </c>
      <c r="K9" s="4"/>
    </row>
    <row r="10" ht="16.5" spans="2:11">
      <c r="B10" s="12" t="s">
        <v>110</v>
      </c>
      <c r="C10" s="14"/>
      <c r="D10" s="14">
        <v>4</v>
      </c>
      <c r="E10" s="14">
        <v>5</v>
      </c>
      <c r="F10" s="14">
        <v>4</v>
      </c>
      <c r="G10" s="14">
        <v>0.5</v>
      </c>
      <c r="H10" s="14">
        <v>0.5</v>
      </c>
      <c r="I10" s="15">
        <v>14</v>
      </c>
      <c r="J10" s="16" t="s">
        <v>99</v>
      </c>
      <c r="K10" s="4"/>
    </row>
    <row r="11" ht="16.5" spans="2:11">
      <c r="B11" s="17" t="s">
        <v>8</v>
      </c>
      <c r="C11" s="18">
        <v>2.5</v>
      </c>
      <c r="D11" s="18">
        <v>16</v>
      </c>
      <c r="E11" s="18">
        <v>16</v>
      </c>
      <c r="F11" s="18">
        <v>11.5</v>
      </c>
      <c r="G11" s="18">
        <v>3</v>
      </c>
      <c r="H11" s="18">
        <v>1</v>
      </c>
      <c r="I11" s="15">
        <v>50</v>
      </c>
      <c r="J11" s="16" t="s">
        <v>99</v>
      </c>
      <c r="K11" s="4"/>
    </row>
    <row r="12" spans="2:11">
      <c r="B12" s="19"/>
      <c r="C12" s="19"/>
      <c r="D12" s="19"/>
      <c r="E12" s="19"/>
      <c r="F12" s="19"/>
      <c r="G12" s="19"/>
      <c r="H12" s="19"/>
      <c r="I12" s="19"/>
      <c r="J12" s="19"/>
    </row>
  </sheetData>
  <mergeCells count="7">
    <mergeCell ref="D3:F3"/>
    <mergeCell ref="E4:F4"/>
    <mergeCell ref="B3:B4"/>
    <mergeCell ref="C3:C4"/>
    <mergeCell ref="G3:G4"/>
    <mergeCell ref="H3:H4"/>
    <mergeCell ref="I2:J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估算明细</vt:lpstr>
      <vt:lpstr>人员投入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2023-05-12T11:15:00Z</dcterms:created>
  <dcterms:modified xsi:type="dcterms:W3CDTF">2026-07-07T06:02:21Z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B0869A6CA1B7404DAB79D2E53EC45173_12</vt:lpwstr>
  </property>
  <property fmtid="{D5CDD505-2E9C-101B-9397-08002B2CF9AE}" pid="4" name="CalculationRule">
    <vt:i4>0</vt:i4>
  </property>
</Properties>
</file>
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<sst xmlns="http://schemas.openxmlformats.org/spreadsheetml/2006/main" count="122" uniqueCount="92">
  <si>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</si>
  <si>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</si>
  <si>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</si>
  <si>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</si>
  <si>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</si>
  <si>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</si>
  <si>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</si>
  <si>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</si>
  <si>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</si>
  <si>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</si>
  <si>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</si>
  <si>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</si>
  <si>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</si>
  <si>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数据埋点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</si>
  <si>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</si>
  <si>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</si>
  <si>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</si>
  <si>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</si>
  <si>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</si>
  <si>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工单报修优化-处理人查看全部工单范围</t>
  </si>
  <si>
    <t>处理人可查看全部工单，扩大查询范围</t>
  </si>
  <si>
    <t>处理人视角工单列表查询范围扩展+权限判断</t>
  </si>
  <si>
    <t>工单报修优化-提交工单填手机号</t>
  </si>
  <si>
    <t>提交工单增加手机号，默认从Workday带出且可修改</t>
  </si>
  <si>
    <t>报修表单增加手机号，按登录人工号从Workday带出、可修改</t>
  </si>
  <si>
    <t>PC后台工单详情展示手机号</t>
  </si>
  <si>
    <t>工单报修优化-工单评价</t>
  </si>
  <si>
    <t>工单完成后提交人评价（打分+描述），PC后台查看评价</t>
  </si>
  <si>
    <t>评价提交：星级打分+文字描述、防重复提交、工单状态流转联动</t>
  </si>
  <si>
    <t>工单详情/列表查看评价（评分汇总图表并入数据统计与报告）</t>
  </si>
  <si>
    <t>工单报修优化-数据统计与报告</t>
  </si>
  <si>
    <t>工单数据统计看板与报告导出（含工单评价统计）</t>
  </si>
  <si>
    <t>统计看板（工单量趋势/状态/类型/处理时效+评价汇总）6、报告导出Excel 1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</si>
  <si>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</si>
  <si>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</si>
  <si>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</si>
  <si>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</si>
  <si>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</si>
  <si>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</si>
  <si>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</si>
  <si>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</si>
  <si>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名片审核优化</t>
  </si>
  <si>
    <t>DAC接口增加manager_id_modified字段，如果manager id不存在，则用此字段</t>
  </si>
  <si>
    <t>DAC接口字段解析+存储扩展，名片审核审批人取值增加fallback逻辑</t>
  </si>
  <si>
    <t>门禁卡管理页面图片跳转</t>
  </si>
  <si>
    <t>门禁卡管理：页面图片增加点击可跳转</t>
  </si>
  <si>
    <t>门禁卡（闸机卡）页面图片增加点击跳转</t>
  </si>
  <si>
    <t>新增OpenAPI接口</t>
  </si>
  <si>
    <t>新功能</t>
  </si>
  <si>
    <t>Gateway 新增 openapi 3个</t>
  </si>
  <si>
    <t>Gateway</t>
  </si>
  <si>
    <t>用于访客获取员工信息支持</t>
  </si>
  <si>
    <t>机器人接口对接</t>
  </si>
  <si>
    <t>机器人接口对接：提供开放的API接口供机器人读取所需数据</t>
  </si>
  <si>
    <t>开放API设计、实现与对接联调（接口鉴权、数据范围控制）</t>
  </si>
  <si>
    <t>ISO 45001认证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</si>
  <si>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</si>
  <si>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</si>
  <si>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</si>
  <si>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</si>
  <si>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以物易物流程支持
（9/7有提到要有一些回收数据要展示，这个需求未明确未估算）</t>
  </si>
  <si>
    <t>以物易物估算
物品管理（标题，分类，描述，图片等），搜索，企微私聊，换物匹配申请，同意，完成，下架等，静态页内容维护</t>
  </si>
  <si>
    <t>以物易物估算
物品信息查看与审核（下架），数据统计</t>
  </si>
  <si>
    <t>行政小智-AI助手</t>
  </si>
  <si>
    <t>阶段一：基础问答
LLM技术选型、多模态可选集成（视所选LLM能力）、第三方LLM接入、React企微H5对话页、SSE消息通道（SLB长连接环境）、问答编排与拒答、热点问题/提示词/大模型更换后台配置、聊天记录导出与统计、新服务部署；</t>
  </si>
  <si>
    <t>AI助手</t>
  </si>
  <si>
    <t>阶段一：基础问答 员工在企业微信里即可与 AI 对话，回答逐句显示；后台可设回答范围、随时更换大模型，支持图片/语音提问（视所选大模型而定）。AI 还能介绍“行政部”应用（Facility）有哪些功能、各功能怎么操作。此阶段尚不能依据公司制度资料作答、也查不了业务数据。</t>
  </si>
  <si>
    <t>阶段二：知识增强RAG
文档解析分块、数据清洗、PG pgvector向量库、向量化混合检索、重排与RAG编排、知识库管理后台、效果调优、试运行反馈调优</t>
  </si>
  <si>
    <t>阶段二：知识库问答 把公司制度、文档、手册上传知识库后，AI 会先“翻资料”再回答，依据公司真实内容作答、不瞎编；行政人员可自行上传、更新资料，无需技术支持。此阶段仍查不了业务数据、不能办事。</t>
  </si>
  <si>
    <t>阶段三：数据与办事
Facility业务库DB定义解析（71张表）、企微身份绑定与鉴权、Facility数据API实时查询工具（Tool Calling）、行级鉴权/字段脱敏/查询审计、白名单机制与提交报修（二次确认）、注入防护、整体集成回归与灰度试运行调优</t>
  </si>
  <si>
    <t>阶段三：查数据、能办事 用大白话直接查业务数据，如“我的报修单到哪了”；按身份权限查数、敏感信息自动隐藏、全程留痕可追溯；可提交报修单，提交前二次确认。仅开放白名单内的查询与办事，其余操作一律不开放。</t>
  </si>
  <si>
    <t>工位、办公室管理系统</t>
  </si>
  <si>
    <t>工位与办公室管理：平面图编辑与查看、台账、固定分配与按天共享预订、统计看板与报告导出、基础数据维护（含Workday人事同步）、基础平面图数据建设</t>
  </si>
  <si>
    <t>平面图找工位、我的工位、管理员预订/释放</t>
  </si>
  <si>
    <t>平面图编辑器、台账、分配/预订管理、统计导出、权限、基础平面图数据建设、基础数据维护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</si>
  <si>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</si>
  <si>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</si>
  <si>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</si>
  <si>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</si>
  <si>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</si>
  <si>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UI/UX设计</t>
  </si>
  <si>
    <t>验收发布</t>
  </si>
  <si>
    <t>需求沟通</t>
  </si>
  <si>
    <t>合计</t>
  </si>
  <si>
    <t>运维费用</t>
  </si>
  <si>
    <t>价格</t>
  </si>
  <si>
    <t>1.AI知识库服务器， 8C/16G/300GB 10Mb带宽</t>
  </si>
  <si>
    <t>￥18,000/年</t>
  </si>
  <si>
    <t>2.AI知识库定期维护更新+Facility运维</t>
  </si>
  <si>
    <t>64人天/年</t>
  </si>
  <si>
    <t>3.LLM Token消耗，以GLM5.3-flash为例， 每天1000次调用</t>
  </si>
  <si>
    <t>约￥3500/年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</si>
</sst>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2.375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5</v>
      </c>
      <c r="H2" s="3" t="s">
        <v>13</v>
      </c>
    </row>
    <row r="3" spans="1:8">
      <c r="A3" s="2"/>
      <c r="B3" s="2"/>
      <c r="C3" s="3"/>
      <c r="D3" s="2"/>
      <c r="E3" s="3"/>
      <c r="F3" s="4" t="s">
        <v>14</v>
      </c>
      <c r="G3" s="5">
        <v>2</v>
      </c>
      <c r="H3" s="3" t="s">
        <v>15</v>
      </c>
    </row>
    <row r="4" spans="1:8">
      <c r="A4" s="2">
        <v>2</v>
      </c>
      <c r="B4" s="2"/>
      <c r="C4" s="3" t="s">
        <v>16</v>
      </c>
      <c r="D4" s="2"/>
      <c r="E4" s="3" t="s">
        <v>17</v>
      </c>
      <c r="F4" s="4" t="s">
        <v>12</v>
      </c>
      <c r="G4" s="5">
        <v>2</v>
      </c>
      <c r="H4" s="3" t="s">
        <v>18</v>
      </c>
    </row>
    <row r="5" ht="27" spans="1:8">
      <c r="A5" s="2">
        <v>3</v>
      </c>
      <c r="B5" s="2"/>
      <c r="C5" s="3" t="s">
        <v>19</v>
      </c>
      <c r="D5" s="2"/>
      <c r="E5" s="3" t="s">
        <v>20</v>
      </c>
      <c r="F5" s="4" t="s">
        <v>14</v>
      </c>
      <c r="G5" s="5">
        <v>2</v>
      </c>
      <c r="H5" s="3" t="s">
        <v>21</v>
      </c>
    </row>
    <row r="6" ht="27" spans="1:8">
      <c r="A6" s="2">
        <v>4</v>
      </c>
      <c r="B6" s="2"/>
      <c r="C6" s="3" t="s">
        <v>22</v>
      </c>
      <c r="D6" s="2"/>
      <c r="E6" s="3" t="s">
        <v>23</v>
      </c>
      <c r="F6" s="4" t="s">
        <v>12</v>
      </c>
      <c r="G6" s="5">
        <v>2</v>
      </c>
      <c r="H6" s="3" t="s">
        <v>24</v>
      </c>
    </row>
    <row r="7" spans="1:8">
      <c r="A7" s="2"/>
      <c r="B7" s="2"/>
      <c r="C7" s="3"/>
      <c r="D7" s="2"/>
      <c r="E7" s="3"/>
      <c r="F7" s="4" t="s">
        <v>14</v>
      </c>
      <c r="G7" s="5">
        <v>1</v>
      </c>
      <c r="H7" s="3" t="s">
        <v>25</v>
      </c>
    </row>
    <row r="8" ht="27" spans="1:8">
      <c r="A8" s="2">
        <v>5</v>
      </c>
      <c r="B8" s="2"/>
      <c r="C8" s="3" t="s">
        <v>26</v>
      </c>
      <c r="D8" s="2"/>
      <c r="E8" s="3" t="s">
        <v>27</v>
      </c>
      <c r="F8" s="4" t="s">
        <v>12</v>
      </c>
      <c r="G8" s="5">
        <v>2</v>
      </c>
      <c r="H8" s="3" t="s">
        <v>28</v>
      </c>
    </row>
    <row r="9" ht="27" spans="1:8">
      <c r="A9" s="2"/>
      <c r="B9" s="2"/>
      <c r="C9" s="3"/>
      <c r="D9" s="2"/>
      <c r="E9" s="3"/>
      <c r="F9" s="4" t="s">
        <v>14</v>
      </c>
      <c r="G9" s="5">
        <v>1</v>
      </c>
      <c r="H9" s="3" t="s">
        <v>29</v>
      </c>
    </row>
    <row r="10" ht="40.5" spans="1:8">
      <c r="A10" s="2">
        <v>6</v>
      </c>
      <c r="B10" s="2"/>
      <c r="C10" s="3" t="s">
        <v>30</v>
      </c>
      <c r="D10" s="2"/>
      <c r="E10" s="3" t="s">
        <v>31</v>
      </c>
      <c r="F10" s="4" t="s">
        <v>14</v>
      </c>
      <c r="G10" s="5">
        <v>7</v>
      </c>
      <c r="H10" s="3" t="s">
        <v>32</v>
      </c>
    </row>
    <row r="11" ht="27" spans="1:8">
      <c r="A11" s="2">
        <v>7</v>
      </c>
      <c r="B11" s="2"/>
      <c r="C11" s="3" t="s">
        <v>33</v>
      </c>
      <c r="D11" s="2"/>
      <c r="E11" s="3" t="s">
        <v>34</v>
      </c>
      <c r="F11" s="4" t="s">
        <v>12</v>
      </c>
      <c r="G11" s="5">
        <v>4</v>
      </c>
      <c r="H11" s="3" t="s">
        <v>35</v>
      </c>
    </row>
    <row r="12" ht="27" spans="1:8">
      <c r="A12" s="2"/>
      <c r="B12" s="2"/>
      <c r="C12" s="3"/>
      <c r="D12" s="2"/>
      <c r="E12" s="3"/>
      <c r="F12" s="4" t="s">
        <v>14</v>
      </c>
      <c r="G12" s="5">
        <v>1</v>
      </c>
      <c r="H12" s="3" t="s">
        <v>36</v>
      </c>
    </row>
    <row r="13" spans="1:8">
      <c r="A13" s="2">
        <v>8</v>
      </c>
      <c r="B13" s="2"/>
      <c r="C13" s="3" t="s">
        <v>37</v>
      </c>
      <c r="D13" s="2"/>
      <c r="E13" s="3" t="s">
        <v>38</v>
      </c>
      <c r="F13" s="4" t="s">
        <v>12</v>
      </c>
      <c r="G13" s="5">
        <v>3</v>
      </c>
      <c r="H13" s="3" t="s">
        <v>39</v>
      </c>
    </row>
    <row r="14" spans="1:8">
      <c r="A14" s="2"/>
      <c r="B14" s="2"/>
      <c r="C14" s="3"/>
      <c r="D14" s="2"/>
      <c r="E14" s="3"/>
      <c r="F14" s="4" t="s">
        <v>14</v>
      </c>
      <c r="G14" s="5">
        <v>2</v>
      </c>
      <c r="H14" s="3" t="s">
        <v>40</v>
      </c>
    </row>
    <row r="15" ht="27" spans="1:8">
      <c r="A15" s="2">
        <v>9</v>
      </c>
      <c r="B15" s="2"/>
      <c r="C15" s="3" t="s">
        <v>41</v>
      </c>
      <c r="D15" s="2"/>
      <c r="E15" s="3" t="s">
        <v>42</v>
      </c>
      <c r="F15" s="4" t="s">
        <v>14</v>
      </c>
      <c r="G15" s="5">
        <v>1</v>
      </c>
      <c r="H15" s="3" t="s">
        <v>43</v>
      </c>
    </row>
    <row r="16" ht="27" spans="1:8">
      <c r="A16" s="2">
        <v>10</v>
      </c>
      <c r="B16" s="2"/>
      <c r="C16" s="3" t="s">
        <v>44</v>
      </c>
      <c r="D16" s="2"/>
      <c r="E16" s="3" t="s">
        <v>45</v>
      </c>
      <c r="F16" s="4" t="s">
        <v>12</v>
      </c>
      <c r="G16" s="5">
        <v>1</v>
      </c>
      <c r="H16" s="3" t="s">
        <v>46</v>
      </c>
    </row>
    <row r="17" spans="1:8">
      <c r="A17" s="2">
        <v>11</v>
      </c>
      <c r="B17" s="2"/>
      <c r="C17" s="3" t="s">
        <v>47</v>
      </c>
      <c r="D17" s="2" t="s">
        <v>48</v>
      </c>
      <c r="E17" s="3" t="s">
        <v>49</v>
      </c>
      <c r="F17" s="4" t="s">
        <v>50</v>
      </c>
      <c r="G17" s="5">
        <v>2</v>
      </c>
      <c r="H17" s="3" t="s">
        <v>51</v>
      </c>
    </row>
    <row r="18" ht="27" spans="1:8">
      <c r="A18" s="2">
        <v>12</v>
      </c>
      <c r="B18" s="2"/>
      <c r="C18" s="3" t="s">
        <v>52</v>
      </c>
      <c r="D18" s="2"/>
      <c r="E18" s="3" t="s">
        <v>53</v>
      </c>
      <c r="F18" s="4" t="s">
        <v>50</v>
      </c>
      <c r="G18" s="5">
        <v>5</v>
      </c>
      <c r="H18" s="3" t="s">
        <v>54</v>
      </c>
    </row>
    <row r="19" ht="27" spans="1:8">
      <c r="A19" s="2">
        <v>13</v>
      </c>
      <c r="B19" s="2"/>
      <c r="C19" s="3" t="s">
        <v>55</v>
      </c>
      <c r="D19" s="2"/>
      <c r="E19" s="3" t="s">
        <v>56</v>
      </c>
      <c r="F19" s="4" t="s">
        <v>12</v>
      </c>
      <c r="G19" s="5">
        <v>10</v>
      </c>
      <c r="H19" s="3" t="s">
        <v>57</v>
      </c>
    </row>
    <row r="20" ht="27" spans="1:8">
      <c r="A20" s="2"/>
      <c r="B20" s="2"/>
      <c r="C20" s="3"/>
      <c r="D20" s="2"/>
      <c r="E20" s="3"/>
      <c r="F20" s="4" t="s">
        <v>14</v>
      </c>
      <c r="G20" s="5">
        <v>15</v>
      </c>
      <c r="H20" s="3" t="s">
        <v>58</v>
      </c>
    </row>
    <row r="21" ht="67.5" spans="1:8">
      <c r="A21" s="2">
        <v>14</v>
      </c>
      <c r="B21" s="2"/>
      <c r="C21" s="3" t="s">
        <v>59</v>
      </c>
      <c r="D21" s="2"/>
      <c r="E21" s="3" t="s">
        <v>60</v>
      </c>
      <c r="F21" s="4" t="s">
        <v>12</v>
      </c>
      <c r="G21" s="5">
        <v>20</v>
      </c>
      <c r="H21" s="3" t="s">
        <v>61</v>
      </c>
    </row>
    <row r="22" ht="40.5" spans="1:8">
      <c r="A22" s="2"/>
      <c r="B22" s="2"/>
      <c r="C22" s="3"/>
      <c r="D22" s="2"/>
      <c r="E22" s="3"/>
      <c r="F22" s="4" t="s">
        <v>14</v>
      </c>
      <c r="G22" s="5">
        <v>8</v>
      </c>
      <c r="H22" s="3" t="s">
        <v>62</v>
      </c>
    </row>
    <row r="23" ht="121.5" spans="1:8">
      <c r="A23" s="2">
        <v>15</v>
      </c>
      <c r="B23" s="2"/>
      <c r="C23" s="3" t="s">
        <v>63</v>
      </c>
      <c r="D23" s="2"/>
      <c r="E23" s="3" t="s">
        <v>64</v>
      </c>
      <c r="F23" s="4" t="s">
        <v>65</v>
      </c>
      <c r="G23" s="5">
        <v>47.5</v>
      </c>
      <c r="H23" s="3" t="s">
        <v>66</v>
      </c>
    </row>
    <row r="24" ht="81" spans="1:8">
      <c r="A24" s="2"/>
      <c r="B24" s="2"/>
      <c r="C24" s="3"/>
      <c r="D24" s="2"/>
      <c r="E24" s="3" t="s">
        <v>67</v>
      </c>
      <c r="F24" s="4" t="s">
        <v>65</v>
      </c>
      <c r="G24" s="5">
        <v>36.5</v>
      </c>
      <c r="H24" s="3" t="s">
        <v>68</v>
      </c>
    </row>
    <row r="25" ht="94.5" spans="1:8">
      <c r="A25" s="2"/>
      <c r="B25" s="2"/>
      <c r="C25" s="3"/>
      <c r="D25" s="2"/>
      <c r="E25" s="3" t="s">
        <v>69</v>
      </c>
      <c r="F25" s="4" t="s">
        <v>65</v>
      </c>
      <c r="G25" s="5">
        <v>40</v>
      </c>
      <c r="H25" s="3" t="s">
        <v>70</v>
      </c>
    </row>
    <row r="26" ht="27" spans="1:8">
      <c r="A26" s="2">
        <v>16</v>
      </c>
      <c r="B26" s="2"/>
      <c r="C26" s="3" t="s">
        <v>71</v>
      </c>
      <c r="D26" s="2"/>
      <c r="E26" s="3" t="s">
        <v>72</v>
      </c>
      <c r="F26" s="4" t="s">
        <v>12</v>
      </c>
      <c r="G26" s="5">
        <v>12</v>
      </c>
      <c r="H26" s="3" t="s">
        <v>73</v>
      </c>
    </row>
    <row r="27" ht="40.5" spans="1:8">
      <c r="A27" s="2"/>
      <c r="B27" s="2"/>
      <c r="C27" s="3"/>
      <c r="D27" s="2"/>
      <c r="E27" s="3"/>
      <c r="F27" s="4" t="s">
        <v>14</v>
      </c>
      <c r="G27" s="5">
        <v>58</v>
      </c>
      <c r="H27" s="3" t="s">
        <v>74</v>
      </c>
    </row>
    <row r="28" ht="27" spans="1:8">
      <c r="A28" s="2">
        <v>17</v>
      </c>
      <c r="B28" s="2"/>
      <c r="C28" s="3" t="s">
        <v>75</v>
      </c>
      <c r="D28" s="2"/>
      <c r="E28" s="3" t="s">
        <v>76</v>
      </c>
      <c r="F28" s="4" t="s">
        <v>12</v>
      </c>
      <c r="G28" s="5">
        <v>5</v>
      </c>
      <c r="H28" s="3" t="s">
        <v>77</v>
      </c>
    </row>
    <row r="29" spans="1:8">
      <c r="A29" s="2">
        <v>18</v>
      </c>
      <c r="B29" s="3" t="s">
        <v>78</v>
      </c>
      <c r="C29" s="2" t="s">
        <v>79</v>
      </c>
      <c r="D29" s="2"/>
      <c r="E29" s="2"/>
      <c r="F29" s="4" t="s">
        <v>79</v>
      </c>
      <c r="G29" s="5">
        <f>ROUNDUP(SUM(G2:G28)*0.15,0)</f>
        <v>45</v>
      </c>
      <c r="H29" s="3"/>
    </row>
    <row r="30" spans="1:8">
      <c r="A30" s="2">
        <v>19</v>
      </c>
      <c r="B30" s="3" t="s">
        <v>80</v>
      </c>
      <c r="C30" s="2" t="s">
        <v>79</v>
      </c>
      <c r="D30" s="2"/>
      <c r="E30" s="2"/>
      <c r="F30" s="4" t="s">
        <v>79</v>
      </c>
      <c r="G30" s="5">
        <v>15</v>
      </c>
      <c r="H30" s="3"/>
    </row>
    <row r="31" spans="1:8">
      <c r="A31" s="2">
        <v>20</v>
      </c>
      <c r="B31" s="3" t="s">
        <v>81</v>
      </c>
      <c r="C31" s="2" t="s">
        <v>79</v>
      </c>
      <c r="D31" s="2"/>
      <c r="E31" s="2"/>
      <c r="F31" s="4" t="s">
        <v>79</v>
      </c>
      <c r="G31" s="5">
        <v>5</v>
      </c>
      <c r="H31" s="3"/>
    </row>
    <row r="32" spans="1:8">
      <c r="A32" s="2">
        <v>21</v>
      </c>
      <c r="B32" s="3" t="s">
        <v>82</v>
      </c>
      <c r="C32" s="2" t="s">
        <v>79</v>
      </c>
      <c r="D32" s="2"/>
      <c r="E32" s="2"/>
      <c r="F32" s="4" t="s">
        <v>79</v>
      </c>
      <c r="G32" s="5">
        <v>8</v>
      </c>
      <c r="H32" s="3"/>
    </row>
    <row r="33" spans="1:8">
      <c r="A33" s="6"/>
      <c r="B33" s="6"/>
      <c r="C33" s="6"/>
      <c r="D33" s="6"/>
      <c r="E33" s="6"/>
      <c r="F33" s="6" t="s">
        <v>83</v>
      </c>
      <c r="G33" s="7">
        <f>SUM(G2:G32)</f>
        <v>368</v>
      </c>
      <c r="H33" s="6"/>
    </row>
    <row r="36" spans="1:8">
      <c r="A36" s="8" t="s">
        <v>84</v>
      </c>
      <c r="B36" s="9"/>
      <c r="C36" s="9"/>
      <c r="D36" s="10" t="s">
        <v>85</v>
      </c>
    </row>
    <row r="37" spans="1:8">
      <c r="A37" s="11" t="s">
        <v>86</v>
      </c>
      <c r="B37" s="12"/>
      <c r="C37" s="12"/>
      <c r="D37" s="13" t="s">
        <v>87</v>
      </c>
    </row>
    <row r="38" spans="1:8">
      <c r="A38" s="11" t="s">
        <v>88</v>
      </c>
      <c r="B38" s="12"/>
      <c r="C38" s="12"/>
      <c r="D38" s="13" t="s">
        <v>89</v>
      </c>
    </row>
    <row r="39" spans="1:8">
      <c r="A39" s="11" t="s">
        <v>90</v>
      </c>
      <c r="B39" s="12"/>
      <c r="C39" s="12"/>
      <c r="D39" s="13" t="s">
        <v>91</v>
      </c>
    </row>
  </sheetData>
  <mergeCells count="33">
    <mergeCell ref="C29:E29"/>
    <mergeCell ref="C30:E30"/>
    <mergeCell ref="C31:E31"/>
    <mergeCell ref="C32:E32"/>
    <mergeCell ref="A2:A3"/>
    <mergeCell ref="A6:A7"/>
    <mergeCell ref="A8:A9"/>
    <mergeCell ref="A11:A12"/>
    <mergeCell ref="A13:A14"/>
    <mergeCell ref="A19:A20"/>
    <mergeCell ref="A21:A22"/>
    <mergeCell ref="A23:A25"/>
    <mergeCell ref="A26:A27"/>
    <mergeCell ref="B2:B28"/>
    <mergeCell ref="C2:C3"/>
    <mergeCell ref="C6:C7"/>
    <mergeCell ref="C8:C9"/>
    <mergeCell ref="C11:C12"/>
    <mergeCell ref="C13:C14"/>
    <mergeCell ref="C19:C20"/>
    <mergeCell ref="C21:C22"/>
    <mergeCell ref="C23:C25"/>
    <mergeCell ref="C26:C27"/>
    <mergeCell ref="D2:D16"/>
    <mergeCell ref="D17:D28"/>
    <mergeCell ref="E2:E3"/>
    <mergeCell ref="E6:E7"/>
    <mergeCell ref="E8:E9"/>
    <mergeCell ref="E11:E12"/>
    <mergeCell ref="E13:E14"/>
    <mergeCell ref="E19:E20"/>
    <mergeCell ref="E21:E22"/>
    <mergeCell ref="E26:E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2026-09-08T09:07:00Z</dcterms:created>
  <dcterms:modified xsi:type="dcterms:W3CDTF">2026-09-09T01:04:57Z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00BAA107771741C19002DDACD9CD8D10_12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
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75"/>
  </bookViews>
  <sheets>
    <sheet name="需求估算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<sst xmlns="http://schemas.openxmlformats.org/spreadsheetml/2006/main" count="685" uniqueCount="392">
  <si>
    <t>序号</t>
  </si>
  <si>
    <t>Epic
业务目标</t>
  </si>
  <si>
    <t>Feature
业务价值单元</t>
  </si>
  <si>
    <t>Story
用户如何使用</t>
  </si>
  <si>
    <t>Function
系统功能</t>
  </si>
  <si>
    <t>端侧</t>
  </si>
  <si>
    <t>使用角色</t>
  </si>
  <si>
    <t>系统功能描述</t>
  </si>
  <si>
    <t>需求补充</t>
  </si>
  <si>
    <t>工时估算</t>
  </si>
  <si>
    <t>PC框架内容</t>
  </si>
  <si>
    <t>系统管理</t>
  </si>
  <si>
    <r>
      <rPr>
        <sz val="11"/>
        <color rgb="FF000000"/>
        <rFont val="微软雅黑"/>
        <charset val="134"/>
      </rPr>
      <t>部门管理</t>
    </r>
  </si>
  <si>
    <t>PC</t>
  </si>
  <si>
    <t>总部</t>
  </si>
  <si>
    <r>
      <rPr>
        <sz val="11"/>
        <color rgb="FF000000"/>
        <rFont val="微软雅黑"/>
        <charset val="134"/>
      </rPr>
      <t>1、</t>
    </r>
    <r>
      <rPr>
        <sz val="11"/>
        <rFont val="微软雅黑"/>
        <charset val="134"/>
      </rPr>
      <t>主要作用是维护总部部门信息；</t>
    </r>
    <r>
      <rPr>
        <sz val="11"/>
        <color rgb="FF000000"/>
        <rFont val="微软雅黑"/>
        <charset val="134"/>
      </rPr>
      <t xml:space="preserve">
2、车商信息在入驻成功后自动生成，无需手工维护；支持修改信息。</t>
    </r>
  </si>
  <si>
    <t>产品功能已具备：
1、主要工作量需要测试工程师验证功能以及客户数据
2、如有BUG需修复</t>
  </si>
  <si>
    <t>测试+修bug 1.5</t>
  </si>
  <si>
    <t>角色管理</t>
  </si>
  <si>
    <t>主要作用是权限控制，与业务岗位一致。
维护总/车商角色信息，支持新增、修改、删除、分配用户、分配菜单权限等操作。</t>
  </si>
  <si>
    <t>用户管理</t>
  </si>
  <si>
    <t>1、组织结构：SP总部-&gt;区域-&gt;车商，三层结构管理
2、维护用户信息，支持创建、修改、删除、分配角色、重置密码等操作。</t>
  </si>
  <si>
    <t>岗位管理</t>
  </si>
  <si>
    <t>总部可维护员工岗位信息</t>
  </si>
  <si>
    <t>菜单管理</t>
  </si>
  <si>
    <t>菜单管理，IT后台功能</t>
  </si>
  <si>
    <t>总部PC端-通知公告申请</t>
  </si>
  <si>
    <t>可维护总部公告</t>
  </si>
  <si>
    <t>总部PC端-通知公告审核</t>
  </si>
  <si>
    <t>审核总部公告</t>
  </si>
  <si>
    <t>登录日志</t>
  </si>
  <si>
    <t>显示PC端及移动端登录日志</t>
  </si>
  <si>
    <t>操作日志</t>
  </si>
  <si>
    <t>显示PC端及移动端操作日志</t>
  </si>
  <si>
    <t>工作台</t>
  </si>
  <si>
    <t>常用入口</t>
  </si>
  <si>
    <t>自动义常用功能入口</t>
  </si>
  <si>
    <t>通知公告</t>
  </si>
  <si>
    <t>查看公告及详请</t>
  </si>
  <si>
    <t>渠道管理</t>
  </si>
  <si>
    <t>车商入驻</t>
  </si>
  <si>
    <t>作为车商老板，我想要线上自助提交入驻申请（包含资料提交），以便我能入驻平台并开始开展业务</t>
  </si>
  <si>
    <t>车商入驻申请</t>
  </si>
  <si>
    <t>代车商填写入驻申请</t>
  </si>
  <si>
    <t xml:space="preserve">1、功能：产品已具备功能，但是需要做客制化改动：界面元素需要按照客户需求调整，基本是减少元素
2、三方对接：合同电签、企微对接需开发
</t>
  </si>
  <si>
    <t>主要对接短信和企微 5
界面优化 2
次要 测试+修bug 1.5</t>
  </si>
  <si>
    <t>合作协议模板管理</t>
  </si>
  <si>
    <t>1、模板上传/下载；2、模板修改；3、模板版本管理</t>
  </si>
  <si>
    <t>合作协议线上签署</t>
  </si>
  <si>
    <t>短信</t>
  </si>
  <si>
    <t>车商</t>
  </si>
  <si>
    <t>自动生成合作协议并线上签署</t>
  </si>
  <si>
    <t>车商入驻审核</t>
  </si>
  <si>
    <t>1、审核结果：通过、驳回
2、结果=驳回时，驳回原因必填；驳回后需要重新提交审核
3、待审核时系统推送红点/消息提醒审核员</t>
  </si>
  <si>
    <t>企业微信通知</t>
  </si>
  <si>
    <t>企微</t>
  </si>
  <si>
    <t>给车商申请人发送企微通知
1、通过：内容展示审核通过状态
2、驳回：内容展示驳回原因</t>
  </si>
  <si>
    <t>组织及账号自动生成</t>
  </si>
  <si>
    <t>后台</t>
  </si>
  <si>
    <t>总部审核通过后：
自动生成组织结构、生成车商管理员账号密码信息、生成车商信息</t>
  </si>
  <si>
    <t>车商人员信息维护</t>
  </si>
  <si>
    <t>APP</t>
  </si>
  <si>
    <t>合作协议签署成功后：
生成组织结构、生成车商管理员账号密码信息、生成车商信息</t>
  </si>
  <si>
    <t>车商退出</t>
  </si>
  <si>
    <t>作为车商老板，我想要申请退出平台，同时希望总部能妥善处理我名下的客户和资产，以便顺利完成退出流程</t>
  </si>
  <si>
    <t>车商预退出</t>
  </si>
  <si>
    <t>预退出主要目的是，新业务不能再申请，但车商仍可查看相关信息</t>
  </si>
  <si>
    <t>主要企微 2
界面优化 2
次要 测试+修bug 1.5</t>
  </si>
  <si>
    <t>车商预退出-审核</t>
  </si>
  <si>
    <t>维护贷后功能、客户等是否转移，以及转移的车商</t>
  </si>
  <si>
    <t>车商退出申请</t>
  </si>
  <si>
    <t>代车商申请退出，需要提交车商委托的证明</t>
  </si>
  <si>
    <t>车商退出审核</t>
  </si>
  <si>
    <t>1、审核结果：通过、驳回
2、结果=驳回时，驳回原因必填</t>
  </si>
  <si>
    <t>组织、账号自动处理</t>
  </si>
  <si>
    <t>退出时间到后，车商组织停用、账号停用。业务划转</t>
  </si>
  <si>
    <t>P企微</t>
  </si>
  <si>
    <t>给车商申请人发送审核通过/驳回通知，驳回时要有原因</t>
  </si>
  <si>
    <t>车商信息管理</t>
  </si>
  <si>
    <t>作为总部运营人员，我想要随时查看车商完整信息及状态，以便进行日常运营管理</t>
  </si>
  <si>
    <t>车商列表查看</t>
  </si>
  <si>
    <t>以列表形式展示所有合作车商；支持按状态（合作中/已退出/审核中）、地区等维度筛选；支持搜索</t>
  </si>
  <si>
    <t>界面优化 2
次要 测试+修bug 1.5</t>
  </si>
  <si>
    <t>车商信息修改/查看/历史记录</t>
  </si>
  <si>
    <t>展示单个车商完整信息：基本信息、状态、申请入驻材料、入驻/退出历史</t>
  </si>
  <si>
    <t>合作协议管理</t>
  </si>
  <si>
    <t>合作协议查看、续签</t>
  </si>
  <si>
    <t>其他</t>
  </si>
  <si>
    <t>总部维护其他渠道方信息</t>
  </si>
  <si>
    <t>资方维护</t>
  </si>
  <si>
    <t>维护、查看合作方信息：基本信息、人员信息、开票信息、账户信息、附件信息。</t>
  </si>
  <si>
    <t>合作方维护</t>
  </si>
  <si>
    <t>维护、查看资方信息：基本信息、合作信息、账户信息、附件信息。</t>
  </si>
  <si>
    <t>金融产品管理</t>
  </si>
  <si>
    <t>金融产品配置</t>
  </si>
  <si>
    <t>作为总部，我想要将资方下发的金融产品录入系统，以便不同车商能为客户匹配合适的贷款产品</t>
  </si>
  <si>
    <t>车型库管理</t>
  </si>
  <si>
    <t>界面上可查看现有车型库数据，可以修改现有车型库数据，也可手工新增</t>
  </si>
  <si>
    <t>1、产品基本功能已具备：客户需求与产品差异较大，产品更复杂，客户需求更简单
2、车型库三方接口需对接开发</t>
  </si>
  <si>
    <t>代码需要调整比较多 2
车型库三方接口 3</t>
  </si>
  <si>
    <t>车型库接口对接</t>
  </si>
  <si>
    <t>接口</t>
  </si>
  <si>
    <t>车型库对接三方接口</t>
  </si>
  <si>
    <t>金融产品维护</t>
  </si>
  <si>
    <t>录入资方的商务政策。产品基本信息、产品有效期、关联车商分组（产品授权）、关联产品参数。</t>
  </si>
  <si>
    <t>目前的代码，业务规则比较复杂</t>
  </si>
  <si>
    <t>车商分组管理</t>
  </si>
  <si>
    <t>创建/编辑/删除车商分组（按区域、合作级别、车型专长等维度分组）；将车商归入分组；一个车商可属于多个分组</t>
  </si>
  <si>
    <t>新的需求会简单很多</t>
  </si>
  <si>
    <t>快速复制(金融产品政策调整)</t>
  </si>
  <si>
    <t>资方下发的金融政策发生调整后，总部手工调整金融产品，后台批量调整关联单据</t>
  </si>
  <si>
    <t>金融产品生效</t>
  </si>
  <si>
    <t>生效后的金融产品不可再进行核心信息修改</t>
  </si>
  <si>
    <t>金融产品查询</t>
  </si>
  <si>
    <t>车商登录后只展示被授权的产品列表；产品卡显示关键利率、适用期限、适用车型；点击查看完整利率政策详情</t>
  </si>
  <si>
    <t>查看所有金融产品信息</t>
  </si>
  <si>
    <t>金融产品修改</t>
  </si>
  <si>
    <t>修改金融产品信息、支持自定义车商可见的金融产品名称</t>
  </si>
  <si>
    <t>批量导出</t>
  </si>
  <si>
    <t>批量导出金融产品列表</t>
  </si>
  <si>
    <t>金融计算器</t>
  </si>
  <si>
    <t>作为车商，我想要快速计算客户的月供和放款金额，以便在洽谈时给出专业报价</t>
  </si>
  <si>
    <t>还款计划试算</t>
  </si>
  <si>
    <t>车商/客户</t>
  </si>
  <si>
    <t>选择金融产品，输入裸车价、首付比例、贷款期限；自动计算月供、总利息、预估放款额；仅展示被授权产品</t>
  </si>
  <si>
    <t>金融产品试算</t>
  </si>
  <si>
    <t>基础试算/金融产品试算。与APP端一致的计算功能；方便内勤在PC端快速测算报价</t>
  </si>
  <si>
    <t>贷前-预审进件管理</t>
  </si>
  <si>
    <t>预审进件</t>
  </si>
  <si>
    <t>作为车商，我想要在APP上为客户发起预审并跟踪进度，以便随时掌握每笔业务状态</t>
  </si>
  <si>
    <t>客户预审单二维码生成</t>
  </si>
  <si>
    <t>输入客户信息生成专属二维码，如果客户未到店，通过企业微信传递二维码给客户填写</t>
  </si>
  <si>
    <t>全新功能，需要定制化开发</t>
  </si>
  <si>
    <t>IOS、Android
表单输入，生成二维码，企微分享</t>
  </si>
  <si>
    <t>客户扫码填写预审单信息</t>
  </si>
  <si>
    <t>小程序</t>
  </si>
  <si>
    <t>客户</t>
  </si>
  <si>
    <r>
      <rPr>
        <sz val="11"/>
        <rFont val="微软雅黑"/>
        <charset val="134"/>
      </rPr>
      <t xml:space="preserve">1、客户扫码-&gt;同意隐私协议（因为这里会记录客户信息到数据库了）-&gt;填写个人信息-&gt;保存
</t>
    </r>
    <r>
      <rPr>
        <sz val="11"/>
        <color rgb="FFFF0000"/>
        <rFont val="微软雅黑"/>
        <charset val="134"/>
      </rPr>
      <t>2、预审单界面支持切换当地语言</t>
    </r>
  </si>
  <si>
    <t>小程序
扫码，签署协议，填写保存信息，支持多语言</t>
  </si>
  <si>
    <t>代客户填写预审单</t>
  </si>
  <si>
    <t>对于不便自己填写信息的客户，车上可代客户填写预审单</t>
  </si>
  <si>
    <t xml:space="preserve">IOS、Android
填写保存信息， </t>
  </si>
  <si>
    <t>预审单信息补充与提交</t>
  </si>
  <si>
    <t>1、查看客户信息，修改信息
2、提供二维码留言板功能，车商业务员手工录入客户的历史被拒信息（通过沟通得来的信息），作为预审单的一个字段，但是不能对客户见，只能车商可见
3、没问题后提交总部</t>
  </si>
  <si>
    <t>IOS、Android
查看修改信息， 二维码留言板功能，字段预留不可见</t>
  </si>
  <si>
    <t>预审单分配</t>
  </si>
  <si>
    <t>1、分配业务员进行处理
2、支持手工/自动分配（平均分配）</t>
  </si>
  <si>
    <t>PC
分配（手动，自动）</t>
  </si>
  <si>
    <t>预审单审核-驳回</t>
  </si>
  <si>
    <t>1、通过/驳回
2、风险较大的客户，支持直接手工驳回，客户及车商客看到驳回状态及原因，可重新提报</t>
  </si>
  <si>
    <t>PC 驳回，
IOS、Android、小程序  驳回重提</t>
  </si>
  <si>
    <t>资方选择</t>
  </si>
  <si>
    <t>1、根据规则智能推荐资方
2、可根据实际，手工调整资方</t>
  </si>
  <si>
    <t>PC 
推荐列表，手动调整</t>
  </si>
  <si>
    <t>智能推荐资方规则维护</t>
  </si>
  <si>
    <t>维护智能推荐的规则，例如融资金额区间等等</t>
  </si>
  <si>
    <t>推荐规则？</t>
  </si>
  <si>
    <t>预审单审核-通过</t>
  </si>
  <si>
    <t>1、将资方APP中生成的预审二维码附在通过原因中，反馈给车商
2、添加跟进记录和内部备注</t>
  </si>
  <si>
    <t>PC 审核通过，记录跟进
IOS、Android 推送消息通知车商</t>
  </si>
  <si>
    <t>进件登记</t>
  </si>
  <si>
    <t>客户扫码征信授权签署及预审后，根据预审的融资金额，车商金融专员填写正式进件登记，支持暂存/提交</t>
  </si>
  <si>
    <t>IOS、Android 填写信息暂存</t>
  </si>
  <si>
    <t>进件提交</t>
  </si>
  <si>
    <t>1、总部人员在资方系统做正式进件
2、在本系统PC端将状态修改为进件提交</t>
  </si>
  <si>
    <t>PC 状态变更</t>
  </si>
  <si>
    <t>单据状态维护</t>
  </si>
  <si>
    <t>1、根据资方系统中单据状态，维护本系统单据状态
2、记录维护历史，留痕</t>
  </si>
  <si>
    <t>PC 同步三方系统状态， 记录历史，可查询</t>
  </si>
  <si>
    <t>进件跟踪</t>
  </si>
  <si>
    <t>进件综合查询-列表</t>
  </si>
  <si>
    <t>1、查看当前单据处理状态和进度，驳回原因，审核意见等，支持按状态、车商、日期、客户姓名等多维度筛选；PC端支持数据导出。
2、总部可查看所有、车商智能查看自己、客户只能查看自己</t>
  </si>
  <si>
    <t>小程序 条件查询列表，数据权限过滤</t>
  </si>
  <si>
    <t>IOS、Android 条件查询列表，数据权限过滤</t>
  </si>
  <si>
    <t>PC 条件查询列表，数据权限过滤，支持导出</t>
  </si>
  <si>
    <t>进件综合查询-订单历史</t>
  </si>
  <si>
    <t>查看订单全生命周期状态流转时间轴；每次变更记录操作人、时间、备注</t>
  </si>
  <si>
    <t>PC 查询状态流转， 后端记录状态变更记录</t>
  </si>
  <si>
    <t>进件综合查询-过程资料管理</t>
  </si>
  <si>
    <t>在各业务节点上传相关过程文件（合同照片、银行回执等）；查看车商提交的备注资料</t>
  </si>
  <si>
    <t>PC 附件上传，表单提交，文件下载及预览</t>
  </si>
  <si>
    <t>贷中-请款</t>
  </si>
  <si>
    <t>请款管理</t>
  </si>
  <si>
    <t>请款申请</t>
  </si>
  <si>
    <t>业务员发起请款申请</t>
  </si>
  <si>
    <t>产品功能已具备，基本可以复用，需要按照客户实际情况调整界面</t>
  </si>
  <si>
    <t>界面优化 2， app两端×2</t>
  </si>
  <si>
    <t>请款审核</t>
  </si>
  <si>
    <t>总部内勤审核，通过/驳回</t>
  </si>
  <si>
    <t>收款登记/凭证上传</t>
  </si>
  <si>
    <t>财务执行付款后，将打款凭证上传系统</t>
  </si>
  <si>
    <t>请款记录查询</t>
  </si>
  <si>
    <t>查询所有请款单据信息</t>
  </si>
  <si>
    <t>保险管理</t>
  </si>
  <si>
    <t>保险线索自动生成</t>
  </si>
  <si>
    <t>可根据到期天数自动生成保险线索</t>
  </si>
  <si>
    <t>PC 数据查询，数据维护，生成线索</t>
  </si>
  <si>
    <t>保险线索处理</t>
  </si>
  <si>
    <t>处理状态记录</t>
  </si>
  <si>
    <t>风控</t>
  </si>
  <si>
    <t>风控校验</t>
  </si>
  <si>
    <t>客户黑名单维护</t>
  </si>
  <si>
    <t>1、支持总部根据以往客户历史信息将其加入黑明（如：逾期过多，因其产生资方罚款等）
2、黑名单内的客户强管控，车商无法提交该客户的预申请单据
3、如有特殊情况，与总部申请批准后方可提交</t>
  </si>
  <si>
    <t>产品功能已具备，可复用，开发几乎没有工作量，主要在测试</t>
  </si>
  <si>
    <t>重复申请校验</t>
  </si>
  <si>
    <t>1、单独查询功能查询重复申请的客户及单据信息
2、总部预审单审核时，会有文字提醒</t>
  </si>
  <si>
    <t>客户管理</t>
  </si>
  <si>
    <t>总部客户管理</t>
  </si>
  <si>
    <t>客户查询</t>
  </si>
  <si>
    <t>总部查询已注册的C端客户信息以及其他信息
客户类型：潜客、保客</t>
  </si>
  <si>
    <t>基本可定义为需要定制化开发，没有三方接口</t>
  </si>
  <si>
    <t>PC 分页条件查询，详情查询</t>
  </si>
  <si>
    <t>客户新增与修改</t>
  </si>
  <si>
    <t>支持手工新增/修改客户信息，记录修改历史</t>
  </si>
  <si>
    <t>PC 新增/修改信息， 记录历史</t>
  </si>
  <si>
    <t>资产管理</t>
  </si>
  <si>
    <t>GPS安装管理</t>
  </si>
  <si>
    <t>作为审核员，我想要完整记录GPS安装信息并与车联网平台联动，以便确认设备有效安装并推进放款</t>
  </si>
  <si>
    <t>GPS设备信息与状态录入</t>
  </si>
  <si>
    <t>手工方式：录入GPS设备编号、安装时间、安装人员、设备状态</t>
  </si>
  <si>
    <t>IOS、Android 填写表单</t>
  </si>
  <si>
    <t>客户车辆管理</t>
  </si>
  <si>
    <t>客户车辆信息自动回填</t>
  </si>
  <si>
    <t>总部后台</t>
  </si>
  <si>
    <t>车商提交正式进件申请后，后台自动生成从客户车辆信息</t>
  </si>
  <si>
    <t>PC 车辆信息实时查询</t>
  </si>
  <si>
    <t>客户保险信息自动回填</t>
  </si>
  <si>
    <t>在车商提交请款申请时自动回填车辆信息</t>
  </si>
  <si>
    <t>PC 保险信息实时查询</t>
  </si>
  <si>
    <t>客户车辆信息手工维护</t>
  </si>
  <si>
    <t>1、支持数据未同步时，手工补充维护。只开放总部功能，若有异常场景，车商联系总部核实后修改，暂不开放车商自主维护功能（若此类情况较多，可考虑开放车商功能，但需要总部审核）。避免数据乱。
2、若此类情况多，考虑批量导入功能</t>
  </si>
  <si>
    <t>PC 车辆信息修改， 导入</t>
  </si>
  <si>
    <t>车辆保险信息手工维护</t>
  </si>
  <si>
    <t>PC 保险信息修改，导入</t>
  </si>
  <si>
    <t>车辆抵押/解押维护及查询</t>
  </si>
  <si>
    <t>维护车辆解抵押状态以及相关信息</t>
  </si>
  <si>
    <t>IOS、Android 状态变更及信息查询</t>
  </si>
  <si>
    <t>GPS信息查询</t>
  </si>
  <si>
    <t>状态及信息查询</t>
  </si>
  <si>
    <t>PC GPS分页条件查询，详情</t>
  </si>
  <si>
    <t>客户车辆信息修改历史记录</t>
  </si>
  <si>
    <t>查看车辆信息变更记录，变更人、变更时间、变更类型（基础信息、解抵押信息、保险信息等）</t>
  </si>
  <si>
    <t>PC 历史分页条件查询，详情</t>
  </si>
  <si>
    <t>客户车辆查询</t>
  </si>
  <si>
    <t>车商只能查看自己的数据</t>
  </si>
  <si>
    <t>IOS、Android 信息查询，数据权限控制</t>
  </si>
  <si>
    <t>总部可以查看所有数据</t>
  </si>
  <si>
    <t>PC 信息查询，数据权限控制</t>
  </si>
  <si>
    <t>车商生态服务</t>
  </si>
  <si>
    <t>外部生态对接</t>
  </si>
  <si>
    <t>暂定对接8个左右外部生态</t>
  </si>
  <si>
    <t>8个三方接口需要全新对接开发，具体是哪些生态尚未确定</t>
  </si>
  <si>
    <t>三方接口 3</t>
  </si>
  <si>
    <t>车商调用服务清单</t>
  </si>
  <si>
    <t>记录车商调用生态服务的流水，支撑结算</t>
  </si>
  <si>
    <t>IOS、Android 调用数据统计，界面渲染</t>
  </si>
  <si>
    <t>生态服务调用费用维护</t>
  </si>
  <si>
    <t>维护每个生态服务调用费用收取规则，支撑结算</t>
  </si>
  <si>
    <t>PC 调用费用维护，汇总，条件查询，支持导出</t>
  </si>
  <si>
    <t>财务管理</t>
  </si>
  <si>
    <t>车商佣金（单笔结算）</t>
  </si>
  <si>
    <t>作为财务，我想要便捷地完成车商佣金计算和打款，以便及时结算激励车商积极性</t>
  </si>
  <si>
    <t>佣金规则配置</t>
  </si>
  <si>
    <t>1、按产品维度、车型维度配置返佣金额或比例；2、后台规则引擎配置，支持灵活多变；3、版本控制</t>
  </si>
  <si>
    <t>PC 规则配置， 后台计算，版本控制</t>
  </si>
  <si>
    <t>佣金计算</t>
  </si>
  <si>
    <t>1、手工勾选(目前实际业务是单笔结算)，自动计算佣金</t>
  </si>
  <si>
    <t>PC 页面计算，后端计算</t>
  </si>
  <si>
    <t>佣金确认</t>
  </si>
  <si>
    <t>1、系统自动汇总车商应收佣金金额，财务确认；2、确认后车商可在APP端查看这笔佣金</t>
  </si>
  <si>
    <t>PC 财务信息确认
IOS、Android 可查</t>
  </si>
  <si>
    <t>佣金明细查询</t>
  </si>
  <si>
    <t>查询总部给车商的佣金明细、以及结算状态</t>
  </si>
  <si>
    <t>车商生态服务费</t>
  </si>
  <si>
    <t>生态服务费计算</t>
  </si>
  <si>
    <t>选择单据，手工触发，自动按规则生成服务费清单</t>
  </si>
  <si>
    <t>PC 信息查看， 后端数据生成</t>
  </si>
  <si>
    <t>结算单生成</t>
  </si>
  <si>
    <t>勾选服务费生成结算单</t>
  </si>
  <si>
    <t>结算单确认</t>
  </si>
  <si>
    <t>确认服务费生成正确，财务确认。确认后APP可看到。</t>
  </si>
  <si>
    <t>生态服务费明细查询</t>
  </si>
  <si>
    <t>查询车商使用生态服务的费用明细、以及结算状态、结算单号</t>
  </si>
  <si>
    <t>总部其他功能</t>
  </si>
  <si>
    <t>费用类型配置</t>
  </si>
  <si>
    <t>配置总部收/扣/退/付款类型</t>
  </si>
  <si>
    <t>PC 规则配置</t>
  </si>
  <si>
    <t>发票查看管理</t>
  </si>
  <si>
    <t>统一查看所有车商上传的发票记录；核对发票信息；标记处理状态</t>
  </si>
  <si>
    <t>PC 分页条件查询，详情查询， 修改状态</t>
  </si>
  <si>
    <t>打款凭证上传</t>
  </si>
  <si>
    <t>上传打款凭证（图片/PDF）；关联对应结算单。</t>
  </si>
  <si>
    <t>PC 文件上传，预览， 数据关联</t>
  </si>
  <si>
    <t>发票上传</t>
  </si>
  <si>
    <t>根据打款凭证上传发票；填写发票金额、税号、开票日期等信息</t>
  </si>
  <si>
    <t>PC 文件上传，预览， 数据关联，填写</t>
  </si>
  <si>
    <t>收款费用录入与查询</t>
  </si>
  <si>
    <t>1、查看；2、录入；3、支持上传凭证与发票；（资方的佣金放在这里记录，不单独设置功能点）</t>
  </si>
  <si>
    <t>PC 表单数据录入及查看</t>
  </si>
  <si>
    <t>扣款费用录入与查询</t>
  </si>
  <si>
    <t>1、查看；2、录入；3、支持上传凭证与发票</t>
  </si>
  <si>
    <t>退款费用录入与查询</t>
  </si>
  <si>
    <t>付款费用录入与查询</t>
  </si>
  <si>
    <t>车商其他功能</t>
  </si>
  <si>
    <t>配置车商各自收/扣/退/付款类型</t>
  </si>
  <si>
    <t>IOS、Android 规则配置</t>
  </si>
  <si>
    <t>IOS、Android 文件上传，预览， 数据关联</t>
  </si>
  <si>
    <t>IOS、Android 文件上传，预览， 数据关联，填写</t>
  </si>
  <si>
    <t>IOS、Android 表单数据录入及查看</t>
  </si>
  <si>
    <t>运营管理</t>
  </si>
  <si>
    <t>卡券</t>
  </si>
  <si>
    <t>作为总部，我想给车商发放卡券，作为激励</t>
  </si>
  <si>
    <t>卡券创建配置</t>
  </si>
  <si>
    <t>创建卡券（类型、面额、有效期、使用说明、二维码时效）</t>
  </si>
  <si>
    <t>卡券的话，目前基本上是 指定金额的代金券，没有复杂的满减规则</t>
  </si>
  <si>
    <t>发放卡券</t>
  </si>
  <si>
    <t>选择/批量勾选车商进行发送</t>
  </si>
  <si>
    <t>PC 卡券发放</t>
  </si>
  <si>
    <t>卡券发放记录</t>
  </si>
  <si>
    <t>查看卡券发放明细记录：接收人、发放时间、使用状态</t>
  </si>
  <si>
    <t>PC 发放明细查看</t>
  </si>
  <si>
    <t>我的卡券（APP）</t>
  </si>
  <si>
    <t>查看已领取卡券列表；展示二维码或核销码用于使用核销;二维码有时效</t>
  </si>
  <si>
    <t>IOS、Android 查看，展示/核销二维码</t>
  </si>
  <si>
    <t>核销记录查询</t>
  </si>
  <si>
    <t>查询已发卡券的核销记录</t>
  </si>
  <si>
    <t>PC 核销记录查看</t>
  </si>
  <si>
    <t>车商圈</t>
  </si>
  <si>
    <t>作为车商，我想要发布车源信息和成交喜报，显示在客户小程序端，提升影响力</t>
  </si>
  <si>
    <t>车商圈动态发布</t>
  </si>
  <si>
    <t>发布图文动态（车源信息、成交喜报等）；上传图片；填写文字描述</t>
  </si>
  <si>
    <t>IOS、Android 图文动态（浏览数，点赞等）</t>
  </si>
  <si>
    <t>社区内容审核</t>
  </si>
  <si>
    <t>审核车商发布的社区帖子；操作上架/下架/删除；不合规内容驳回</t>
  </si>
  <si>
    <t>PC 内容审核</t>
  </si>
  <si>
    <t>我发布的帖子</t>
  </si>
  <si>
    <t>查看管理自己发布的帖子，可对齐进行上架/下架/删除，修改后需要重新提交总部审核</t>
  </si>
  <si>
    <t>IOS、Android 帖子管理</t>
  </si>
  <si>
    <t>车商APP公告</t>
  </si>
  <si>
    <t>作为总部，我想维护客户小程序与车商APP公告，便于发布想触达的内容</t>
  </si>
  <si>
    <t>公告维护及申请</t>
  </si>
  <si>
    <t>1、可维护车商APP小程序公告信息
2、公告详情页包含展示的图片，以及详请页内容（文字详请）</t>
  </si>
  <si>
    <t>PC 公告维护</t>
  </si>
  <si>
    <t>公告审核</t>
  </si>
  <si>
    <t>总部审核公告通过后，公告方可展示在APP端</t>
  </si>
  <si>
    <t>PC 公告审核</t>
  </si>
  <si>
    <t>车商端公告查看</t>
  </si>
  <si>
    <t>车商在金融助手APP首页可查看公告轮播画面，以及点击链接进入详情页</t>
  </si>
  <si>
    <t>IOS、Android 公告轮播展示，详情</t>
  </si>
  <si>
    <t>客户小程序（布局）</t>
  </si>
  <si>
    <t>首页</t>
  </si>
  <si>
    <t>默认页</t>
  </si>
  <si>
    <t>车商圈车源信息和成交喜报</t>
  </si>
  <si>
    <t>全新功能，需要定制化开发，框架可提供</t>
  </si>
  <si>
    <t>预审</t>
  </si>
  <si>
    <t>线上意向申报</t>
  </si>
  <si>
    <t>客户可在线填写姓名、联系电话、意向信息、选择车商、意向描述，提交后，车商联系客户跟进。（轻量化线索）</t>
  </si>
  <si>
    <t>小程序 表单填写提交</t>
  </si>
  <si>
    <t>我的</t>
  </si>
  <si>
    <t>1、我的申请：跳转至申请单列表；2、联系客服，直接显示电话；3、退出登录</t>
  </si>
  <si>
    <t>小程序 我的，申请列表，联系客服，退出登录</t>
  </si>
  <si>
    <t>申请查看</t>
  </si>
  <si>
    <t>单据列表/详情页</t>
  </si>
  <si>
    <t>查看客户的申请列表，支持跳转至详情页</t>
  </si>
  <si>
    <t>小程序 列表查询，详情查看</t>
  </si>
  <si>
    <t>客户注册管理</t>
  </si>
  <si>
    <t>客户登录/注册</t>
  </si>
  <si>
    <t>1、客户输入手机号登录，首次登录自动注册（告知客户）
2、隐私协议等</t>
  </si>
  <si>
    <t>小程序 oauth登录， 绑定手机号，隐私协议</t>
  </si>
  <si>
    <t>账号注销</t>
  </si>
  <si>
    <t>用户申请永久注销账号；注销前弹窗告知注销影响（数据删除、业务终止）；满足应用市场合规审核要求</t>
  </si>
  <si>
    <t>小程序，账号注销申请，影响告知
PC 注销审核</t>
  </si>
  <si>
    <t>车商APP（布局）</t>
  </si>
  <si>
    <t>公告、快捷入口、生态服务</t>
  </si>
  <si>
    <t>1、公告信息，点击查看公告详情；2、可自定义快捷功能入口；3、展业生态服务</t>
  </si>
  <si>
    <t>IOS、Android 公告，自定义入口，生态服务</t>
  </si>
  <si>
    <t>线索</t>
  </si>
  <si>
    <t>1、查询C端线索，按状态（待跟进、需要再次跟进、已完成）、跟进人查询；2、维护跟进状态、跟进详请描述。</t>
  </si>
  <si>
    <t>IOS、Android 线索条件查询，信息维护</t>
  </si>
  <si>
    <t>个人信息修改、隐私协议</t>
  </si>
  <si>
    <t>IOS、Android 个人信息维护，隐私协议</t>
  </si>
  <si>
    <t>报表分析</t>
  </si>
  <si>
    <t>总部报表</t>
  </si>
  <si>
    <t>经营分析-车商经营报表</t>
  </si>
  <si>
    <t>按时间、按车、按资方查询：1、进件量；2、放款金额/笔数；3、进件通过率/驳回次数（资方）；</t>
  </si>
  <si>
    <t>PC 报表查询，导出</t>
  </si>
  <si>
    <t>产品分析-金融产品分析报表</t>
  </si>
  <si>
    <t>按资方/产品维度：
1、各产品使用占比趋势；2、各产品放款金额趋势；3、驳回次数及原因分析</t>
  </si>
  <si>
    <t>车商报表</t>
  </si>
  <si>
    <t>经营分析-业绩报表</t>
  </si>
  <si>
    <t>按时间维度查询进件量、通过率、放款金额/笔数、佣金/预估佣金</t>
  </si>
  <si>
    <t>IOS、Android 报表查询，导出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</si>
</sst>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9E1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22" applyNumberFormat="0" applyAlignment="0" applyProtection="0">
      <alignment vertical="center"/>
    </xf>
    <xf numFmtId="0" fontId="17" fillId="10" borderId="23" applyNumberFormat="0" applyAlignment="0" applyProtection="0">
      <alignment vertical="center"/>
    </xf>
    <xf numFmtId="0" fontId="18" fillId="10" borderId="22" applyNumberFormat="0" applyAlignment="0" applyProtection="0">
      <alignment vertical="center"/>
    </xf>
    <xf numFmtId="0" fontId="19" fillId="11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/>
    </xf>
    <xf numFmtId="0" fontId="5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6" fillId="0" borderId="1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vertical="center" wrapText="1"/>
    </xf>
    <xf numFmtId="0" fontId="5" fillId="7" borderId="6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1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33"/>
  <sheetViews>
    <sheetView tabSelected="1" workbookViewId="0">
      <selection activeCell="L7" sqref="L7"/>
    </sheetView>
  </sheetViews>
  <sheetFormatPr defaultColWidth="8.90833333333333" defaultRowHeight="16.5"/>
  <cols>
    <col min="1" max="1" width="1.36666666666667" style="1" customWidth="1"/>
    <col min="2" max="2" width="6.45" style="2" customWidth="1"/>
    <col min="3" max="3" width="7.26666666666667" style="2" customWidth="1"/>
    <col min="4" max="4" width="15.2666666666667" style="2" customWidth="1"/>
    <col min="5" max="5" width="13.725" style="2" hidden="1" customWidth="1"/>
    <col min="6" max="6" width="20.6333333333333" style="1" customWidth="1"/>
    <col min="7" max="8" width="6.725" style="2" customWidth="1"/>
    <col min="9" max="9" width="59.0916666666667" style="2" customWidth="1"/>
    <col min="10" max="10" width="40.0916666666667" style="1" customWidth="1"/>
    <col min="11" max="11" width="8.90833333333333" style="1"/>
    <col min="12" max="12" width="51.375" style="1" customWidth="1"/>
    <col min="13" max="16384" width="8.90833333333333" style="1"/>
  </cols>
  <sheetData>
    <row r="1" ht="16.15" customHeight="1"/>
    <row r="2" s="1" customFormat="1" ht="22.5" customHeight="1" spans="2:12">
      <c r="B2" s="3" t="s">
        <v>0</v>
      </c>
      <c r="C2" s="4" t="s">
        <v>1</v>
      </c>
      <c r="D2" s="4" t="s">
        <v>2</v>
      </c>
      <c r="E2" s="5" t="s">
        <v>3</v>
      </c>
      <c r="F2" s="4" t="s">
        <v>4</v>
      </c>
      <c r="G2" s="4" t="s">
        <v>5</v>
      </c>
      <c r="H2" s="6" t="s">
        <v>6</v>
      </c>
      <c r="I2" s="3" t="s">
        <v>7</v>
      </c>
      <c r="J2" s="7" t="s">
        <v>8</v>
      </c>
      <c r="K2" s="8" t="s">
        <v>9</v>
      </c>
    </row>
    <row r="3" s="1" customFormat="1" ht="22.5" customHeight="1" spans="2:12">
      <c r="B3" s="9"/>
      <c r="C3" s="10"/>
      <c r="D3" s="10"/>
      <c r="E3" s="11"/>
      <c r="F3" s="9"/>
      <c r="G3" s="9"/>
      <c r="H3" s="12"/>
      <c r="I3" s="13"/>
      <c r="J3" s="14"/>
      <c r="K3" s="8"/>
    </row>
    <row r="4" s="1" customFormat="1" ht="36.75" customHeight="1" spans="2:12">
      <c r="B4" s="10">
        <v>1</v>
      </c>
      <c r="C4" s="15" t="s">
        <v>10</v>
      </c>
      <c r="D4" s="16" t="s">
        <v>11</v>
      </c>
      <c r="E4" s="15"/>
      <c r="F4" s="17" t="s">
        <v>12</v>
      </c>
      <c r="G4" s="18" t="s">
        <v>13</v>
      </c>
      <c r="H4" s="19" t="s">
        <v>14</v>
      </c>
      <c r="I4" s="17" t="s">
        <v>15</v>
      </c>
      <c r="J4" s="20" t="s">
        <v>16</v>
      </c>
      <c r="K4" s="21">
        <v>1.5</v>
      </c>
      <c r="L4" s="22" t="s">
        <v>17</v>
      </c>
    </row>
    <row r="5" s="1" customFormat="1" ht="49.5" spans="2:12">
      <c r="B5" s="10">
        <v>2</v>
      </c>
      <c r="C5" s="23"/>
      <c r="D5" s="16"/>
      <c r="E5" s="23"/>
      <c r="F5" s="24" t="s">
        <v>18</v>
      </c>
      <c r="G5" s="25" t="s">
        <v>13</v>
      </c>
      <c r="H5" s="26" t="s">
        <v>14</v>
      </c>
      <c r="I5" s="24" t="s">
        <v>19</v>
      </c>
      <c r="J5" s="27"/>
      <c r="K5" s="21">
        <v>1.5</v>
      </c>
      <c r="L5" s="22"/>
    </row>
    <row r="6" s="1" customFormat="1" ht="49.5" spans="2:12">
      <c r="B6" s="10">
        <v>3</v>
      </c>
      <c r="C6" s="23"/>
      <c r="D6" s="16"/>
      <c r="E6" s="23"/>
      <c r="F6" s="24" t="s">
        <v>20</v>
      </c>
      <c r="G6" s="25" t="s">
        <v>13</v>
      </c>
      <c r="H6" s="26" t="s">
        <v>14</v>
      </c>
      <c r="I6" s="24" t="s">
        <v>21</v>
      </c>
      <c r="J6" s="27"/>
      <c r="K6" s="21">
        <v>1.5</v>
      </c>
      <c r="L6" s="28"/>
    </row>
    <row r="7" s="1" customFormat="1" spans="2:12">
      <c r="B7" s="10">
        <v>4</v>
      </c>
      <c r="C7" s="23"/>
      <c r="D7" s="16"/>
      <c r="E7" s="23"/>
      <c r="F7" s="24" t="s">
        <v>22</v>
      </c>
      <c r="G7" s="25" t="s">
        <v>13</v>
      </c>
      <c r="H7" s="26" t="s">
        <v>14</v>
      </c>
      <c r="I7" s="24" t="s">
        <v>23</v>
      </c>
      <c r="J7" s="27"/>
      <c r="K7" s="21">
        <v>1.5</v>
      </c>
      <c r="L7" s="22"/>
    </row>
    <row r="8" s="1" customFormat="1" spans="2:12">
      <c r="B8" s="10">
        <v>5</v>
      </c>
      <c r="C8" s="23"/>
      <c r="D8" s="16"/>
      <c r="E8" s="23"/>
      <c r="F8" s="24" t="s">
        <v>24</v>
      </c>
      <c r="G8" s="25" t="s">
        <v>13</v>
      </c>
      <c r="H8" s="26" t="s">
        <v>14</v>
      </c>
      <c r="I8" s="24" t="s">
        <v>25</v>
      </c>
      <c r="J8" s="27"/>
      <c r="K8" s="21">
        <v>1.5</v>
      </c>
      <c r="L8" s="22"/>
    </row>
    <row r="9" s="1" customFormat="1" spans="2:12">
      <c r="B9" s="10">
        <v>6</v>
      </c>
      <c r="C9" s="23"/>
      <c r="D9" s="16"/>
      <c r="E9" s="23"/>
      <c r="F9" s="24" t="s">
        <v>26</v>
      </c>
      <c r="G9" s="25" t="s">
        <v>13</v>
      </c>
      <c r="H9" s="26" t="s">
        <v>14</v>
      </c>
      <c r="I9" s="24" t="s">
        <v>27</v>
      </c>
      <c r="J9" s="27"/>
      <c r="K9" s="21">
        <v>1.5</v>
      </c>
      <c r="L9" s="22"/>
    </row>
    <row r="10" s="1" customFormat="1" spans="2:12">
      <c r="B10" s="10">
        <v>7</v>
      </c>
      <c r="C10" s="23"/>
      <c r="D10" s="16"/>
      <c r="E10" s="23"/>
      <c r="F10" s="24" t="s">
        <v>28</v>
      </c>
      <c r="G10" s="25" t="s">
        <v>13</v>
      </c>
      <c r="H10" s="26" t="s">
        <v>14</v>
      </c>
      <c r="I10" s="24" t="s">
        <v>29</v>
      </c>
      <c r="J10" s="27"/>
      <c r="K10" s="21">
        <v>1.5</v>
      </c>
      <c r="L10" s="22"/>
    </row>
    <row r="11" s="1" customFormat="1" spans="2:12">
      <c r="B11" s="10">
        <v>8</v>
      </c>
      <c r="C11" s="23"/>
      <c r="D11" s="16"/>
      <c r="E11" s="23"/>
      <c r="F11" s="24" t="s">
        <v>30</v>
      </c>
      <c r="G11" s="25" t="s">
        <v>13</v>
      </c>
      <c r="H11" s="26" t="s">
        <v>14</v>
      </c>
      <c r="I11" s="24" t="s">
        <v>31</v>
      </c>
      <c r="J11" s="27"/>
      <c r="K11" s="21">
        <v>1.5</v>
      </c>
      <c r="L11" s="22"/>
    </row>
    <row r="12" s="1" customFormat="1" spans="2:12">
      <c r="B12" s="10">
        <v>9</v>
      </c>
      <c r="C12" s="23"/>
      <c r="D12" s="16"/>
      <c r="E12" s="10"/>
      <c r="F12" s="24" t="s">
        <v>32</v>
      </c>
      <c r="G12" s="25" t="s">
        <v>13</v>
      </c>
      <c r="H12" s="26" t="s">
        <v>14</v>
      </c>
      <c r="I12" s="24" t="s">
        <v>33</v>
      </c>
      <c r="J12" s="27"/>
      <c r="K12" s="21">
        <v>1.5</v>
      </c>
      <c r="L12" s="22"/>
    </row>
    <row r="13" s="1" customFormat="1" spans="2:12">
      <c r="B13" s="10">
        <v>10</v>
      </c>
      <c r="C13" s="23"/>
      <c r="D13" s="15" t="s">
        <v>34</v>
      </c>
      <c r="E13" s="15"/>
      <c r="F13" s="24" t="s">
        <v>35</v>
      </c>
      <c r="G13" s="25" t="s">
        <v>13</v>
      </c>
      <c r="H13" s="26" t="s">
        <v>14</v>
      </c>
      <c r="I13" s="29" t="s">
        <v>36</v>
      </c>
      <c r="J13" s="27"/>
      <c r="K13" s="21">
        <v>1.5</v>
      </c>
      <c r="L13" s="22"/>
    </row>
    <row r="14" s="1" customFormat="1" spans="2:12">
      <c r="B14" s="10">
        <v>11</v>
      </c>
      <c r="C14" s="23"/>
      <c r="D14" s="23"/>
      <c r="E14" s="10"/>
      <c r="F14" s="24" t="s">
        <v>37</v>
      </c>
      <c r="G14" s="25" t="s">
        <v>13</v>
      </c>
      <c r="H14" s="26" t="s">
        <v>14</v>
      </c>
      <c r="I14" s="29" t="s">
        <v>38</v>
      </c>
      <c r="J14" s="30"/>
      <c r="K14" s="21">
        <v>1.5</v>
      </c>
      <c r="L14" s="22"/>
    </row>
    <row r="15" s="1" customFormat="1" ht="36" customHeight="1" spans="2:12">
      <c r="B15" s="10">
        <v>12</v>
      </c>
      <c r="C15" s="31" t="s">
        <v>39</v>
      </c>
      <c r="D15" s="17" t="s">
        <v>40</v>
      </c>
      <c r="E15" s="32" t="s">
        <v>41</v>
      </c>
      <c r="F15" s="24" t="s">
        <v>42</v>
      </c>
      <c r="G15" s="25" t="s">
        <v>13</v>
      </c>
      <c r="H15" s="26" t="s">
        <v>14</v>
      </c>
      <c r="I15" s="24" t="s">
        <v>43</v>
      </c>
      <c r="J15" s="20" t="s">
        <v>44</v>
      </c>
      <c r="K15" s="21">
        <f t="shared" ref="K15:K18" si="0">1.5+2</f>
        <v>3.5</v>
      </c>
      <c r="L15" s="28" t="s">
        <v>45</v>
      </c>
    </row>
    <row r="16" s="1" customFormat="1" ht="32.25" customHeight="1" spans="2:12">
      <c r="B16" s="10">
        <v>13</v>
      </c>
      <c r="C16" s="33"/>
      <c r="D16" s="34"/>
      <c r="E16" s="35"/>
      <c r="F16" s="24" t="s">
        <v>46</v>
      </c>
      <c r="G16" s="25" t="s">
        <v>13</v>
      </c>
      <c r="H16" s="26" t="s">
        <v>14</v>
      </c>
      <c r="I16" s="24" t="s">
        <v>47</v>
      </c>
      <c r="J16" s="27"/>
      <c r="K16" s="21">
        <f t="shared" si="0"/>
        <v>3.5</v>
      </c>
      <c r="L16" s="22"/>
    </row>
    <row r="17" s="1" customFormat="1" ht="34.5" customHeight="1" spans="2:12">
      <c r="B17" s="10">
        <v>14</v>
      </c>
      <c r="C17" s="33"/>
      <c r="D17" s="34"/>
      <c r="E17" s="35"/>
      <c r="F17" s="24" t="s">
        <v>48</v>
      </c>
      <c r="G17" s="25" t="s">
        <v>49</v>
      </c>
      <c r="H17" s="26" t="s">
        <v>50</v>
      </c>
      <c r="I17" s="24" t="s">
        <v>51</v>
      </c>
      <c r="J17" s="27"/>
      <c r="K17" s="36">
        <v>2</v>
      </c>
      <c r="L17" s="22"/>
    </row>
    <row r="18" s="1" customFormat="1" ht="66" customHeight="1" spans="2:12">
      <c r="B18" s="10">
        <v>15</v>
      </c>
      <c r="C18" s="33"/>
      <c r="D18" s="34"/>
      <c r="E18" s="35"/>
      <c r="F18" s="24" t="s">
        <v>52</v>
      </c>
      <c r="G18" s="25" t="s">
        <v>13</v>
      </c>
      <c r="H18" s="26" t="s">
        <v>14</v>
      </c>
      <c r="I18" s="24" t="s">
        <v>53</v>
      </c>
      <c r="J18" s="27"/>
      <c r="K18" s="21">
        <f t="shared" si="0"/>
        <v>3.5</v>
      </c>
      <c r="L18" s="22"/>
    </row>
    <row r="19" s="1" customFormat="1" ht="49.15" customHeight="1" spans="2:12">
      <c r="B19" s="10">
        <v>16</v>
      </c>
      <c r="C19" s="33"/>
      <c r="D19" s="34"/>
      <c r="E19" s="35"/>
      <c r="F19" s="17" t="s">
        <v>54</v>
      </c>
      <c r="G19" s="18" t="s">
        <v>55</v>
      </c>
      <c r="H19" s="19" t="s">
        <v>50</v>
      </c>
      <c r="I19" s="17" t="s">
        <v>56</v>
      </c>
      <c r="J19" s="27"/>
      <c r="K19" s="36">
        <v>3</v>
      </c>
      <c r="L19" s="22"/>
    </row>
    <row r="20" s="1" customFormat="1" ht="42.75" customHeight="1" spans="2:12">
      <c r="B20" s="10">
        <v>17</v>
      </c>
      <c r="C20" s="33"/>
      <c r="D20" s="34"/>
      <c r="E20" s="35"/>
      <c r="F20" s="37" t="s">
        <v>57</v>
      </c>
      <c r="G20" s="18" t="s">
        <v>13</v>
      </c>
      <c r="H20" s="19" t="s">
        <v>58</v>
      </c>
      <c r="I20" s="17" t="s">
        <v>59</v>
      </c>
      <c r="J20" s="27"/>
      <c r="K20" s="21">
        <f t="shared" ref="K20:K26" si="1">1.5+2</f>
        <v>3.5</v>
      </c>
      <c r="L20" s="22"/>
    </row>
    <row r="21" s="1" customFormat="1" ht="33" spans="2:12">
      <c r="B21" s="10">
        <v>18</v>
      </c>
      <c r="C21" s="33"/>
      <c r="D21" s="38"/>
      <c r="E21" s="39"/>
      <c r="F21" s="37" t="s">
        <v>60</v>
      </c>
      <c r="G21" s="18" t="s">
        <v>61</v>
      </c>
      <c r="H21" s="19" t="s">
        <v>50</v>
      </c>
      <c r="I21" s="17" t="s">
        <v>62</v>
      </c>
      <c r="J21" s="27"/>
      <c r="K21" s="21">
        <f t="shared" si="1"/>
        <v>3.5</v>
      </c>
      <c r="L21" s="22"/>
    </row>
    <row r="22" s="1" customFormat="1" ht="28.5" customHeight="1" spans="2:12">
      <c r="B22" s="10">
        <v>19</v>
      </c>
      <c r="C22" s="33"/>
      <c r="D22" s="17" t="s">
        <v>63</v>
      </c>
      <c r="E22" s="32" t="s">
        <v>64</v>
      </c>
      <c r="F22" s="17" t="s">
        <v>65</v>
      </c>
      <c r="G22" s="18" t="s">
        <v>13</v>
      </c>
      <c r="H22" s="19" t="s">
        <v>14</v>
      </c>
      <c r="I22" s="17" t="s">
        <v>66</v>
      </c>
      <c r="J22" s="27"/>
      <c r="K22" s="21">
        <f t="shared" si="1"/>
        <v>3.5</v>
      </c>
      <c r="L22" s="28" t="s">
        <v>67</v>
      </c>
    </row>
    <row r="23" s="1" customFormat="1" ht="28.5" customHeight="1" spans="2:12">
      <c r="B23" s="10">
        <v>20</v>
      </c>
      <c r="C23" s="33"/>
      <c r="D23" s="35"/>
      <c r="E23" s="35"/>
      <c r="F23" s="17" t="s">
        <v>68</v>
      </c>
      <c r="G23" s="18" t="s">
        <v>13</v>
      </c>
      <c r="H23" s="19" t="s">
        <v>14</v>
      </c>
      <c r="I23" s="17" t="s">
        <v>69</v>
      </c>
      <c r="J23" s="27"/>
      <c r="K23" s="21">
        <f t="shared" si="1"/>
        <v>3.5</v>
      </c>
      <c r="L23" s="22"/>
    </row>
    <row r="24" s="1" customFormat="1" ht="28.5" customHeight="1" spans="2:12">
      <c r="B24" s="10">
        <v>21</v>
      </c>
      <c r="C24" s="33"/>
      <c r="D24" s="35"/>
      <c r="E24" s="35"/>
      <c r="F24" s="17" t="s">
        <v>70</v>
      </c>
      <c r="G24" s="18" t="s">
        <v>13</v>
      </c>
      <c r="H24" s="19" t="s">
        <v>14</v>
      </c>
      <c r="I24" s="17" t="s">
        <v>71</v>
      </c>
      <c r="J24" s="27"/>
      <c r="K24" s="21">
        <f t="shared" si="1"/>
        <v>3.5</v>
      </c>
      <c r="L24" s="22"/>
    </row>
    <row r="25" s="1" customFormat="1" ht="36" customHeight="1" spans="2:12">
      <c r="B25" s="10">
        <v>22</v>
      </c>
      <c r="C25" s="33"/>
      <c r="D25" s="34"/>
      <c r="E25" s="35"/>
      <c r="F25" s="17" t="s">
        <v>72</v>
      </c>
      <c r="G25" s="18" t="s">
        <v>13</v>
      </c>
      <c r="H25" s="19" t="s">
        <v>14</v>
      </c>
      <c r="I25" s="17" t="s">
        <v>73</v>
      </c>
      <c r="J25" s="27"/>
      <c r="K25" s="21">
        <f t="shared" si="1"/>
        <v>3.5</v>
      </c>
      <c r="L25" s="22"/>
    </row>
    <row r="26" s="1" customFormat="1" ht="29.25" customHeight="1" spans="2:12">
      <c r="B26" s="10">
        <v>23</v>
      </c>
      <c r="C26" s="33"/>
      <c r="D26" s="34"/>
      <c r="E26" s="35"/>
      <c r="F26" s="17" t="s">
        <v>74</v>
      </c>
      <c r="G26" s="18" t="s">
        <v>13</v>
      </c>
      <c r="H26" s="19" t="s">
        <v>58</v>
      </c>
      <c r="I26" s="17" t="s">
        <v>75</v>
      </c>
      <c r="J26" s="27"/>
      <c r="K26" s="21">
        <f t="shared" si="1"/>
        <v>3.5</v>
      </c>
      <c r="L26" s="22"/>
    </row>
    <row r="27" s="1" customFormat="1" ht="39" customHeight="1" spans="2:12">
      <c r="B27" s="10">
        <v>24</v>
      </c>
      <c r="C27" s="33"/>
      <c r="D27" s="38"/>
      <c r="E27" s="39"/>
      <c r="F27" s="17" t="s">
        <v>54</v>
      </c>
      <c r="G27" s="18" t="s">
        <v>76</v>
      </c>
      <c r="H27" s="19" t="s">
        <v>50</v>
      </c>
      <c r="I27" s="17" t="s">
        <v>77</v>
      </c>
      <c r="J27" s="27"/>
      <c r="K27" s="36">
        <v>2</v>
      </c>
      <c r="L27" s="22"/>
    </row>
    <row r="28" s="1" customFormat="1" ht="39.75" customHeight="1" spans="2:12">
      <c r="B28" s="10">
        <v>25</v>
      </c>
      <c r="C28" s="33"/>
      <c r="D28" s="17" t="s">
        <v>78</v>
      </c>
      <c r="E28" s="32" t="s">
        <v>79</v>
      </c>
      <c r="F28" s="17" t="s">
        <v>80</v>
      </c>
      <c r="G28" s="18" t="s">
        <v>13</v>
      </c>
      <c r="H28" s="19" t="s">
        <v>14</v>
      </c>
      <c r="I28" s="17" t="s">
        <v>81</v>
      </c>
      <c r="J28" s="27"/>
      <c r="K28" s="21">
        <f t="shared" ref="K28:K32" si="2">1.5+2</f>
        <v>3.5</v>
      </c>
      <c r="L28" s="28" t="s">
        <v>82</v>
      </c>
    </row>
    <row r="29" s="1" customFormat="1" ht="41.25" customHeight="1" spans="2:12">
      <c r="B29" s="10">
        <v>26</v>
      </c>
      <c r="C29" s="33"/>
      <c r="D29" s="34"/>
      <c r="E29" s="35"/>
      <c r="F29" s="17" t="s">
        <v>83</v>
      </c>
      <c r="G29" s="18" t="s">
        <v>13</v>
      </c>
      <c r="H29" s="19" t="s">
        <v>14</v>
      </c>
      <c r="I29" s="17" t="s">
        <v>84</v>
      </c>
      <c r="J29" s="27"/>
      <c r="K29" s="21">
        <f t="shared" si="2"/>
        <v>3.5</v>
      </c>
      <c r="L29" s="22"/>
    </row>
    <row r="30" s="1" customFormat="1" ht="37.5" customHeight="1" spans="2:12">
      <c r="B30" s="10">
        <v>27</v>
      </c>
      <c r="C30" s="33"/>
      <c r="D30" s="34"/>
      <c r="E30" s="39"/>
      <c r="F30" s="17" t="s">
        <v>85</v>
      </c>
      <c r="G30" s="18" t="s">
        <v>13</v>
      </c>
      <c r="H30" s="19" t="s">
        <v>14</v>
      </c>
      <c r="I30" s="17" t="s">
        <v>86</v>
      </c>
      <c r="J30" s="27"/>
      <c r="K30" s="21">
        <f t="shared" si="2"/>
        <v>3.5</v>
      </c>
      <c r="L30" s="22"/>
    </row>
    <row r="31" s="1" customFormat="1" ht="36" customHeight="1" spans="2:12">
      <c r="B31" s="10">
        <v>28</v>
      </c>
      <c r="C31" s="33"/>
      <c r="D31" s="15" t="s">
        <v>87</v>
      </c>
      <c r="E31" s="31" t="s">
        <v>88</v>
      </c>
      <c r="F31" s="40" t="s">
        <v>89</v>
      </c>
      <c r="G31" s="18" t="s">
        <v>13</v>
      </c>
      <c r="H31" s="19" t="s">
        <v>14</v>
      </c>
      <c r="I31" s="17" t="s">
        <v>90</v>
      </c>
      <c r="J31" s="27"/>
      <c r="K31" s="21">
        <f t="shared" si="2"/>
        <v>3.5</v>
      </c>
      <c r="L31" s="22"/>
    </row>
    <row r="32" s="1" customFormat="1" ht="36" customHeight="1" spans="2:12">
      <c r="B32" s="10">
        <v>29</v>
      </c>
      <c r="C32" s="33"/>
      <c r="D32" s="23"/>
      <c r="E32" s="41"/>
      <c r="F32" s="40" t="s">
        <v>91</v>
      </c>
      <c r="G32" s="18" t="s">
        <v>13</v>
      </c>
      <c r="H32" s="19" t="s">
        <v>14</v>
      </c>
      <c r="I32" s="17" t="s">
        <v>92</v>
      </c>
      <c r="J32" s="30"/>
      <c r="K32" s="21">
        <f t="shared" si="2"/>
        <v>3.5</v>
      </c>
      <c r="L32" s="22"/>
    </row>
    <row r="33" s="1" customFormat="1" ht="45" customHeight="1" spans="2:12">
      <c r="B33" s="10">
        <v>30</v>
      </c>
      <c r="C33" s="18" t="s">
        <v>93</v>
      </c>
      <c r="D33" s="17" t="s">
        <v>94</v>
      </c>
      <c r="E33" s="32" t="s">
        <v>95</v>
      </c>
      <c r="F33" s="42" t="s">
        <v>96</v>
      </c>
      <c r="G33" s="43" t="s">
        <v>13</v>
      </c>
      <c r="H33" s="44" t="s">
        <v>14</v>
      </c>
      <c r="I33" s="24" t="s">
        <v>97</v>
      </c>
      <c r="J33" s="20" t="s">
        <v>98</v>
      </c>
      <c r="K33" s="21">
        <v>2</v>
      </c>
      <c r="L33" s="28" t="s">
        <v>99</v>
      </c>
    </row>
    <row r="34" s="1" customFormat="1" ht="38.25" customHeight="1" spans="2:12">
      <c r="B34" s="10">
        <v>31</v>
      </c>
      <c r="C34" s="18"/>
      <c r="D34" s="17"/>
      <c r="E34" s="35"/>
      <c r="F34" s="42" t="s">
        <v>100</v>
      </c>
      <c r="G34" s="43" t="s">
        <v>13</v>
      </c>
      <c r="H34" s="44" t="s">
        <v>101</v>
      </c>
      <c r="I34" s="24" t="s">
        <v>102</v>
      </c>
      <c r="J34" s="45"/>
      <c r="K34" s="36">
        <v>3</v>
      </c>
      <c r="L34" s="22"/>
    </row>
    <row r="35" s="1" customFormat="1" ht="39" customHeight="1" spans="2:12">
      <c r="B35" s="10">
        <v>32</v>
      </c>
      <c r="C35" s="18"/>
      <c r="D35" s="17"/>
      <c r="E35" s="35"/>
      <c r="F35" s="46" t="s">
        <v>103</v>
      </c>
      <c r="G35" s="43" t="s">
        <v>13</v>
      </c>
      <c r="H35" s="44" t="s">
        <v>14</v>
      </c>
      <c r="I35" s="24" t="s">
        <v>104</v>
      </c>
      <c r="J35" s="45"/>
      <c r="K35" s="36">
        <v>2</v>
      </c>
      <c r="L35" s="22" t="s">
        <v>105</v>
      </c>
    </row>
    <row r="36" s="1" customFormat="1" ht="39" customHeight="1" spans="2:12">
      <c r="B36" s="10">
        <v>33</v>
      </c>
      <c r="C36" s="18"/>
      <c r="D36" s="17"/>
      <c r="E36" s="35"/>
      <c r="F36" s="46" t="s">
        <v>106</v>
      </c>
      <c r="G36" s="43" t="s">
        <v>13</v>
      </c>
      <c r="H36" s="44" t="s">
        <v>14</v>
      </c>
      <c r="I36" s="24" t="s">
        <v>107</v>
      </c>
      <c r="J36" s="45"/>
      <c r="K36" s="36">
        <v>2</v>
      </c>
      <c r="L36" s="22" t="s">
        <v>108</v>
      </c>
    </row>
    <row r="37" s="1" customFormat="1" ht="39" customHeight="1" spans="2:12">
      <c r="B37" s="10">
        <v>34</v>
      </c>
      <c r="C37" s="18"/>
      <c r="D37" s="17"/>
      <c r="E37" s="35"/>
      <c r="F37" s="42" t="s">
        <v>109</v>
      </c>
      <c r="G37" s="43" t="s">
        <v>13</v>
      </c>
      <c r="H37" s="44" t="s">
        <v>14</v>
      </c>
      <c r="I37" s="24" t="s">
        <v>110</v>
      </c>
      <c r="J37" s="45"/>
      <c r="K37" s="36">
        <v>2</v>
      </c>
      <c r="L37" s="22"/>
    </row>
    <row r="38" s="1" customFormat="1" ht="39" customHeight="1" spans="2:12">
      <c r="B38" s="10">
        <v>35</v>
      </c>
      <c r="C38" s="18"/>
      <c r="D38" s="17"/>
      <c r="E38" s="35"/>
      <c r="F38" s="42" t="s">
        <v>111</v>
      </c>
      <c r="G38" s="43" t="s">
        <v>13</v>
      </c>
      <c r="H38" s="44" t="s">
        <v>14</v>
      </c>
      <c r="I38" s="24" t="s">
        <v>112</v>
      </c>
      <c r="J38" s="45"/>
      <c r="K38" s="36">
        <v>2</v>
      </c>
      <c r="L38" s="22"/>
    </row>
    <row r="39" s="1" customFormat="1" ht="40.5" customHeight="1" spans="2:12">
      <c r="B39" s="10">
        <v>36</v>
      </c>
      <c r="C39" s="18"/>
      <c r="D39" s="17"/>
      <c r="E39" s="35"/>
      <c r="F39" s="42" t="s">
        <v>113</v>
      </c>
      <c r="G39" s="43" t="s">
        <v>61</v>
      </c>
      <c r="H39" s="44" t="s">
        <v>50</v>
      </c>
      <c r="I39" s="24" t="s">
        <v>114</v>
      </c>
      <c r="J39" s="45"/>
      <c r="K39" s="36">
        <v>2</v>
      </c>
      <c r="L39" s="22"/>
    </row>
    <row r="40" s="1" customFormat="1" ht="40.5" customHeight="1" spans="2:12">
      <c r="B40" s="10">
        <v>37</v>
      </c>
      <c r="C40" s="18"/>
      <c r="D40" s="17"/>
      <c r="E40" s="35"/>
      <c r="F40" s="42" t="s">
        <v>113</v>
      </c>
      <c r="G40" s="43" t="s">
        <v>13</v>
      </c>
      <c r="H40" s="44" t="s">
        <v>14</v>
      </c>
      <c r="I40" s="24" t="s">
        <v>115</v>
      </c>
      <c r="J40" s="45"/>
      <c r="K40" s="36">
        <v>2</v>
      </c>
      <c r="L40" s="22"/>
    </row>
    <row r="41" s="1" customFormat="1" ht="40.5" customHeight="1" spans="2:12">
      <c r="B41" s="10">
        <v>38</v>
      </c>
      <c r="C41" s="18"/>
      <c r="D41" s="17"/>
      <c r="E41" s="35"/>
      <c r="F41" s="42" t="s">
        <v>116</v>
      </c>
      <c r="G41" s="43" t="s">
        <v>13</v>
      </c>
      <c r="H41" s="44" t="s">
        <v>14</v>
      </c>
      <c r="I41" s="24" t="s">
        <v>117</v>
      </c>
      <c r="J41" s="45"/>
      <c r="K41" s="36">
        <v>2</v>
      </c>
      <c r="L41" s="22"/>
    </row>
    <row r="42" s="1" customFormat="1" ht="40.5" customHeight="1" spans="2:12">
      <c r="B42" s="10">
        <v>39</v>
      </c>
      <c r="C42" s="18"/>
      <c r="D42" s="17"/>
      <c r="E42" s="39"/>
      <c r="F42" s="42" t="s">
        <v>118</v>
      </c>
      <c r="G42" s="43" t="s">
        <v>13</v>
      </c>
      <c r="H42" s="44" t="s">
        <v>14</v>
      </c>
      <c r="I42" s="24" t="s">
        <v>119</v>
      </c>
      <c r="J42" s="45"/>
      <c r="K42" s="36">
        <v>2</v>
      </c>
      <c r="L42" s="22"/>
    </row>
    <row r="43" s="1" customFormat="1" ht="41.25" customHeight="1" spans="2:12">
      <c r="B43" s="10">
        <v>40</v>
      </c>
      <c r="C43" s="16"/>
      <c r="D43" s="17" t="s">
        <v>120</v>
      </c>
      <c r="E43" s="32" t="s">
        <v>121</v>
      </c>
      <c r="F43" s="42" t="s">
        <v>122</v>
      </c>
      <c r="G43" s="43" t="s">
        <v>61</v>
      </c>
      <c r="H43" s="44" t="s">
        <v>123</v>
      </c>
      <c r="I43" s="24" t="s">
        <v>124</v>
      </c>
      <c r="J43" s="45"/>
      <c r="K43" s="36">
        <v>2</v>
      </c>
      <c r="L43" s="22"/>
    </row>
    <row r="44" s="1" customFormat="1" ht="41.25" customHeight="1" spans="2:12">
      <c r="B44" s="10">
        <v>42</v>
      </c>
      <c r="C44" s="16"/>
      <c r="D44" s="16"/>
      <c r="E44" s="39"/>
      <c r="F44" s="42" t="s">
        <v>125</v>
      </c>
      <c r="G44" s="43" t="s">
        <v>13</v>
      </c>
      <c r="H44" s="44" t="s">
        <v>14</v>
      </c>
      <c r="I44" s="24" t="s">
        <v>126</v>
      </c>
      <c r="J44" s="47"/>
      <c r="K44" s="48">
        <v>2</v>
      </c>
      <c r="L44" s="22"/>
    </row>
    <row r="45" s="1" customFormat="1" ht="52.9" customHeight="1" spans="2:12">
      <c r="B45" s="10">
        <v>43</v>
      </c>
      <c r="C45" s="18" t="s">
        <v>127</v>
      </c>
      <c r="D45" s="25" t="s">
        <v>128</v>
      </c>
      <c r="E45" s="49" t="s">
        <v>129</v>
      </c>
      <c r="F45" s="42" t="s">
        <v>130</v>
      </c>
      <c r="G45" s="43" t="s">
        <v>61</v>
      </c>
      <c r="H45" s="44" t="s">
        <v>50</v>
      </c>
      <c r="I45" s="24" t="s">
        <v>131</v>
      </c>
      <c r="J45" s="15" t="s">
        <v>132</v>
      </c>
      <c r="K45" s="50">
        <v>6</v>
      </c>
      <c r="L45" s="28" t="s">
        <v>133</v>
      </c>
    </row>
    <row r="46" s="1" customFormat="1" ht="52.15" customHeight="1" spans="2:12">
      <c r="B46" s="10">
        <v>44</v>
      </c>
      <c r="C46" s="18"/>
      <c r="D46" s="25"/>
      <c r="E46" s="51"/>
      <c r="F46" s="42" t="s">
        <v>134</v>
      </c>
      <c r="G46" s="43" t="s">
        <v>135</v>
      </c>
      <c r="H46" s="44" t="s">
        <v>136</v>
      </c>
      <c r="I46" s="24" t="s">
        <v>137</v>
      </c>
      <c r="J46" s="23"/>
      <c r="K46" s="52">
        <v>5</v>
      </c>
      <c r="L46" s="28" t="s">
        <v>138</v>
      </c>
    </row>
    <row r="47" s="1" customFormat="1" ht="52.15" customHeight="1" spans="2:12">
      <c r="B47" s="10">
        <v>45</v>
      </c>
      <c r="C47" s="18"/>
      <c r="D47" s="25"/>
      <c r="E47" s="51"/>
      <c r="F47" s="42" t="s">
        <v>139</v>
      </c>
      <c r="G47" s="43" t="s">
        <v>61</v>
      </c>
      <c r="H47" s="44" t="s">
        <v>50</v>
      </c>
      <c r="I47" s="24" t="s">
        <v>140</v>
      </c>
      <c r="J47" s="23"/>
      <c r="K47" s="52">
        <v>4</v>
      </c>
      <c r="L47" s="28" t="s">
        <v>141</v>
      </c>
    </row>
    <row r="48" s="1" customFormat="1" ht="63" customHeight="1" spans="2:12">
      <c r="B48" s="10">
        <v>46</v>
      </c>
      <c r="C48" s="18"/>
      <c r="D48" s="25"/>
      <c r="E48" s="51"/>
      <c r="F48" s="42" t="s">
        <v>142</v>
      </c>
      <c r="G48" s="43" t="s">
        <v>61</v>
      </c>
      <c r="H48" s="44" t="s">
        <v>50</v>
      </c>
      <c r="I48" s="24" t="s">
        <v>143</v>
      </c>
      <c r="J48" s="23"/>
      <c r="K48" s="52">
        <v>6</v>
      </c>
      <c r="L48" s="28" t="s">
        <v>144</v>
      </c>
    </row>
    <row r="49" s="1" customFormat="1" ht="42.65" customHeight="1" spans="2:12">
      <c r="B49" s="10">
        <v>47</v>
      </c>
      <c r="C49" s="18"/>
      <c r="D49" s="25"/>
      <c r="E49" s="51"/>
      <c r="F49" s="42" t="s">
        <v>145</v>
      </c>
      <c r="G49" s="43" t="s">
        <v>13</v>
      </c>
      <c r="H49" s="44" t="s">
        <v>14</v>
      </c>
      <c r="I49" s="24" t="s">
        <v>146</v>
      </c>
      <c r="J49" s="23"/>
      <c r="K49" s="52">
        <v>4</v>
      </c>
      <c r="L49" s="28" t="s">
        <v>147</v>
      </c>
    </row>
    <row r="50" s="1" customFormat="1" ht="47.5" customHeight="1" spans="2:12">
      <c r="B50" s="10">
        <v>48</v>
      </c>
      <c r="C50" s="18"/>
      <c r="D50" s="25"/>
      <c r="E50" s="51"/>
      <c r="F50" s="42" t="s">
        <v>148</v>
      </c>
      <c r="G50" s="43" t="s">
        <v>13</v>
      </c>
      <c r="H50" s="44" t="s">
        <v>14</v>
      </c>
      <c r="I50" s="24" t="s">
        <v>149</v>
      </c>
      <c r="J50" s="23"/>
      <c r="K50" s="52">
        <v>8</v>
      </c>
      <c r="L50" s="28" t="s">
        <v>150</v>
      </c>
    </row>
    <row r="51" s="1" customFormat="1" ht="66" spans="2:12">
      <c r="B51" s="10">
        <v>49</v>
      </c>
      <c r="C51" s="18"/>
      <c r="D51" s="25"/>
      <c r="E51" s="51"/>
      <c r="F51" s="42" t="s">
        <v>151</v>
      </c>
      <c r="G51" s="43" t="s">
        <v>13</v>
      </c>
      <c r="H51" s="44" t="s">
        <v>14</v>
      </c>
      <c r="I51" s="24" t="s">
        <v>152</v>
      </c>
      <c r="J51" s="23"/>
      <c r="K51" s="52">
        <v>4</v>
      </c>
      <c r="L51" s="28" t="s">
        <v>153</v>
      </c>
    </row>
    <row r="52" s="1" customFormat="1" ht="21.65" customHeight="1" spans="2:12">
      <c r="B52" s="10">
        <v>50</v>
      </c>
      <c r="C52" s="18"/>
      <c r="D52" s="25"/>
      <c r="E52" s="51"/>
      <c r="F52" s="42" t="s">
        <v>154</v>
      </c>
      <c r="G52" s="43" t="s">
        <v>13</v>
      </c>
      <c r="H52" s="44" t="s">
        <v>14</v>
      </c>
      <c r="I52" s="24" t="s">
        <v>155</v>
      </c>
      <c r="J52" s="23"/>
      <c r="K52" s="52">
        <v>10</v>
      </c>
      <c r="L52" s="22" t="s">
        <v>156</v>
      </c>
    </row>
    <row r="53" s="1" customFormat="1" ht="115.5" spans="2:12">
      <c r="B53" s="10">
        <v>51</v>
      </c>
      <c r="C53" s="18"/>
      <c r="D53" s="25"/>
      <c r="E53" s="51"/>
      <c r="F53" s="42" t="s">
        <v>157</v>
      </c>
      <c r="G53" s="43" t="s">
        <v>13</v>
      </c>
      <c r="H53" s="44" t="s">
        <v>14</v>
      </c>
      <c r="I53" s="24" t="s">
        <v>158</v>
      </c>
      <c r="J53" s="23"/>
      <c r="K53" s="52">
        <v>6</v>
      </c>
      <c r="L53" s="28" t="s">
        <v>159</v>
      </c>
    </row>
    <row r="54" s="1" customFormat="1" ht="33" spans="2:12">
      <c r="B54" s="10">
        <v>52</v>
      </c>
      <c r="C54" s="18"/>
      <c r="D54" s="25"/>
      <c r="E54" s="51"/>
      <c r="F54" s="42" t="s">
        <v>160</v>
      </c>
      <c r="G54" s="43" t="s">
        <v>61</v>
      </c>
      <c r="H54" s="44" t="s">
        <v>50</v>
      </c>
      <c r="I54" s="24" t="s">
        <v>161</v>
      </c>
      <c r="J54" s="23"/>
      <c r="K54" s="52">
        <v>4</v>
      </c>
      <c r="L54" s="22" t="s">
        <v>162</v>
      </c>
    </row>
    <row r="55" s="1" customFormat="1" ht="33" spans="2:12">
      <c r="B55" s="10">
        <v>53</v>
      </c>
      <c r="C55" s="18"/>
      <c r="D55" s="25"/>
      <c r="E55" s="51"/>
      <c r="F55" s="42" t="s">
        <v>163</v>
      </c>
      <c r="G55" s="43" t="s">
        <v>13</v>
      </c>
      <c r="H55" s="44" t="s">
        <v>14</v>
      </c>
      <c r="I55" s="24" t="s">
        <v>164</v>
      </c>
      <c r="J55" s="23"/>
      <c r="K55" s="52">
        <v>2</v>
      </c>
      <c r="L55" s="22" t="s">
        <v>165</v>
      </c>
    </row>
    <row r="56" s="1" customFormat="1" ht="33" customHeight="1" spans="2:12">
      <c r="B56" s="10">
        <v>54</v>
      </c>
      <c r="C56" s="18"/>
      <c r="D56" s="25"/>
      <c r="E56" s="53"/>
      <c r="F56" s="42" t="s">
        <v>166</v>
      </c>
      <c r="G56" s="43" t="s">
        <v>13</v>
      </c>
      <c r="H56" s="44" t="s">
        <v>14</v>
      </c>
      <c r="I56" s="24" t="s">
        <v>167</v>
      </c>
      <c r="J56" s="23"/>
      <c r="K56" s="52">
        <v>6</v>
      </c>
      <c r="L56" s="22" t="s">
        <v>168</v>
      </c>
    </row>
    <row r="57" s="1" customFormat="1" ht="22.15" customHeight="1" spans="2:12">
      <c r="B57" s="10">
        <v>55</v>
      </c>
      <c r="C57" s="18"/>
      <c r="D57" s="33" t="s">
        <v>169</v>
      </c>
      <c r="E57" s="31"/>
      <c r="F57" s="42" t="s">
        <v>170</v>
      </c>
      <c r="G57" s="43" t="s">
        <v>135</v>
      </c>
      <c r="H57" s="44" t="s">
        <v>136</v>
      </c>
      <c r="I57" s="54" t="s">
        <v>171</v>
      </c>
      <c r="J57" s="23"/>
      <c r="K57" s="52">
        <v>2</v>
      </c>
      <c r="L57" s="22" t="s">
        <v>172</v>
      </c>
    </row>
    <row r="58" s="1" customFormat="1" ht="22.15" customHeight="1" spans="2:12">
      <c r="B58" s="10">
        <v>56</v>
      </c>
      <c r="C58" s="18"/>
      <c r="D58" s="33"/>
      <c r="E58" s="33"/>
      <c r="F58" s="42" t="s">
        <v>170</v>
      </c>
      <c r="G58" s="43" t="s">
        <v>61</v>
      </c>
      <c r="H58" s="44" t="s">
        <v>50</v>
      </c>
      <c r="I58" s="54"/>
      <c r="J58" s="23"/>
      <c r="K58" s="52">
        <v>2</v>
      </c>
      <c r="L58" s="22" t="s">
        <v>173</v>
      </c>
    </row>
    <row r="59" s="1" customFormat="1" ht="22.15" customHeight="1" spans="2:12">
      <c r="B59" s="10">
        <v>57</v>
      </c>
      <c r="C59" s="18"/>
      <c r="D59" s="33"/>
      <c r="E59" s="33"/>
      <c r="F59" s="42" t="s">
        <v>170</v>
      </c>
      <c r="G59" s="43" t="s">
        <v>13</v>
      </c>
      <c r="H59" s="44" t="s">
        <v>14</v>
      </c>
      <c r="I59" s="54"/>
      <c r="J59" s="23"/>
      <c r="K59" s="52">
        <v>4</v>
      </c>
      <c r="L59" s="22" t="s">
        <v>174</v>
      </c>
    </row>
    <row r="60" s="1" customFormat="1" ht="33" customHeight="1" spans="2:12">
      <c r="B60" s="10">
        <v>58</v>
      </c>
      <c r="C60" s="18"/>
      <c r="D60" s="33"/>
      <c r="E60" s="33"/>
      <c r="F60" s="42" t="s">
        <v>175</v>
      </c>
      <c r="G60" s="43" t="s">
        <v>13</v>
      </c>
      <c r="H60" s="44" t="s">
        <v>14</v>
      </c>
      <c r="I60" s="24" t="s">
        <v>176</v>
      </c>
      <c r="J60" s="23"/>
      <c r="K60" s="52">
        <v>4</v>
      </c>
      <c r="L60" s="22" t="s">
        <v>177</v>
      </c>
    </row>
    <row r="61" s="1" customFormat="1" ht="35.5" customHeight="1" spans="2:12">
      <c r="B61" s="10">
        <v>59</v>
      </c>
      <c r="C61" s="18"/>
      <c r="D61" s="41"/>
      <c r="E61" s="41"/>
      <c r="F61" s="42" t="s">
        <v>178</v>
      </c>
      <c r="G61" s="43" t="s">
        <v>13</v>
      </c>
      <c r="H61" s="44" t="s">
        <v>14</v>
      </c>
      <c r="I61" s="24" t="s">
        <v>179</v>
      </c>
      <c r="J61" s="10"/>
      <c r="K61" s="55">
        <v>6</v>
      </c>
      <c r="L61" s="22" t="s">
        <v>180</v>
      </c>
    </row>
    <row r="62" s="1" customFormat="1" ht="30" customHeight="1" spans="2:12">
      <c r="B62" s="10">
        <v>60</v>
      </c>
      <c r="C62" s="18" t="s">
        <v>181</v>
      </c>
      <c r="D62" s="15" t="s">
        <v>182</v>
      </c>
      <c r="E62" s="15"/>
      <c r="F62" s="42" t="s">
        <v>183</v>
      </c>
      <c r="G62" s="43" t="s">
        <v>61</v>
      </c>
      <c r="H62" s="44" t="s">
        <v>50</v>
      </c>
      <c r="I62" s="24" t="s">
        <v>184</v>
      </c>
      <c r="J62" s="32" t="s">
        <v>185</v>
      </c>
      <c r="K62" s="21">
        <v>4</v>
      </c>
      <c r="L62" s="22" t="s">
        <v>186</v>
      </c>
    </row>
    <row r="63" s="1" customFormat="1" ht="30" customHeight="1" spans="2:12">
      <c r="B63" s="10">
        <v>61</v>
      </c>
      <c r="C63" s="18"/>
      <c r="D63" s="23"/>
      <c r="E63" s="23"/>
      <c r="F63" s="42" t="s">
        <v>187</v>
      </c>
      <c r="G63" s="43" t="s">
        <v>13</v>
      </c>
      <c r="H63" s="44" t="s">
        <v>14</v>
      </c>
      <c r="I63" s="24" t="s">
        <v>188</v>
      </c>
      <c r="J63" s="35"/>
      <c r="K63" s="36">
        <v>2</v>
      </c>
      <c r="L63" s="22"/>
    </row>
    <row r="64" s="1" customFormat="1" ht="30" customHeight="1" spans="2:12">
      <c r="B64" s="10">
        <v>62</v>
      </c>
      <c r="C64" s="18"/>
      <c r="D64" s="23"/>
      <c r="E64" s="23"/>
      <c r="F64" s="42" t="s">
        <v>189</v>
      </c>
      <c r="G64" s="43" t="s">
        <v>61</v>
      </c>
      <c r="H64" s="44" t="s">
        <v>50</v>
      </c>
      <c r="I64" s="24" t="s">
        <v>190</v>
      </c>
      <c r="J64" s="35"/>
      <c r="K64" s="36">
        <v>4</v>
      </c>
      <c r="L64" s="22"/>
    </row>
    <row r="65" s="1" customFormat="1" ht="30" customHeight="1" spans="2:12">
      <c r="B65" s="10">
        <v>63</v>
      </c>
      <c r="C65" s="18"/>
      <c r="D65" s="10"/>
      <c r="E65" s="10"/>
      <c r="F65" s="42" t="s">
        <v>191</v>
      </c>
      <c r="G65" s="43" t="s">
        <v>13</v>
      </c>
      <c r="H65" s="44" t="s">
        <v>14</v>
      </c>
      <c r="I65" s="24" t="s">
        <v>192</v>
      </c>
      <c r="J65" s="39"/>
      <c r="K65" s="48">
        <v>2</v>
      </c>
      <c r="L65" s="22"/>
    </row>
    <row r="66" s="1" customFormat="1" ht="30" customHeight="1" spans="2:12">
      <c r="B66" s="10">
        <v>64</v>
      </c>
      <c r="C66" s="33" t="s">
        <v>193</v>
      </c>
      <c r="D66" s="15" t="s">
        <v>193</v>
      </c>
      <c r="E66" s="15"/>
      <c r="F66" s="42" t="s">
        <v>194</v>
      </c>
      <c r="G66" s="43" t="s">
        <v>13</v>
      </c>
      <c r="H66" s="44" t="s">
        <v>14</v>
      </c>
      <c r="I66" s="24" t="s">
        <v>195</v>
      </c>
      <c r="J66" s="56" t="s">
        <v>132</v>
      </c>
      <c r="K66" s="50">
        <v>8</v>
      </c>
      <c r="L66" s="22" t="s">
        <v>196</v>
      </c>
    </row>
    <row r="67" s="1" customFormat="1" ht="30" customHeight="1" spans="2:12">
      <c r="B67" s="10">
        <v>65</v>
      </c>
      <c r="C67" s="41"/>
      <c r="D67" s="10"/>
      <c r="E67" s="10"/>
      <c r="F67" s="42" t="s">
        <v>197</v>
      </c>
      <c r="G67" s="43" t="s">
        <v>13</v>
      </c>
      <c r="H67" s="44" t="s">
        <v>14</v>
      </c>
      <c r="I67" s="24" t="s">
        <v>198</v>
      </c>
      <c r="J67" s="38"/>
      <c r="K67" s="55"/>
      <c r="L67" s="22"/>
    </row>
    <row r="68" s="1" customFormat="1" ht="30" customHeight="1" spans="2:12">
      <c r="B68" s="10">
        <v>66</v>
      </c>
      <c r="C68" s="31" t="s">
        <v>199</v>
      </c>
      <c r="D68" s="15" t="s">
        <v>200</v>
      </c>
      <c r="E68" s="15"/>
      <c r="F68" s="42" t="s">
        <v>201</v>
      </c>
      <c r="G68" s="57" t="s">
        <v>13</v>
      </c>
      <c r="H68" s="44" t="s">
        <v>14</v>
      </c>
      <c r="I68" s="24" t="s">
        <v>202</v>
      </c>
      <c r="J68" s="32" t="s">
        <v>203</v>
      </c>
      <c r="K68" s="21">
        <v>1.5</v>
      </c>
      <c r="L68" s="22" t="s">
        <v>17</v>
      </c>
    </row>
    <row r="69" s="1" customFormat="1" ht="30" customHeight="1" spans="2:12">
      <c r="B69" s="10">
        <v>67</v>
      </c>
      <c r="C69" s="41"/>
      <c r="D69" s="10"/>
      <c r="E69" s="10"/>
      <c r="F69" s="42" t="s">
        <v>204</v>
      </c>
      <c r="G69" s="57" t="s">
        <v>13</v>
      </c>
      <c r="H69" s="44" t="s">
        <v>14</v>
      </c>
      <c r="I69" s="24" t="s">
        <v>205</v>
      </c>
      <c r="J69" s="39"/>
      <c r="K69" s="21">
        <v>1.5</v>
      </c>
      <c r="L69" s="22"/>
    </row>
    <row r="70" s="1" customFormat="1" ht="35.5" customHeight="1" spans="2:12">
      <c r="B70" s="10">
        <v>68</v>
      </c>
      <c r="C70" s="16" t="s">
        <v>206</v>
      </c>
      <c r="D70" s="15" t="s">
        <v>207</v>
      </c>
      <c r="E70" s="15"/>
      <c r="F70" s="42" t="s">
        <v>208</v>
      </c>
      <c r="G70" s="57" t="s">
        <v>13</v>
      </c>
      <c r="H70" s="44" t="s">
        <v>14</v>
      </c>
      <c r="I70" s="24" t="s">
        <v>209</v>
      </c>
      <c r="J70" s="58" t="s">
        <v>210</v>
      </c>
      <c r="K70" s="50">
        <v>3</v>
      </c>
      <c r="L70" s="22" t="s">
        <v>211</v>
      </c>
    </row>
    <row r="71" s="1" customFormat="1" ht="35.5" customHeight="1" spans="2:12">
      <c r="B71" s="10">
        <v>69</v>
      </c>
      <c r="C71" s="16"/>
      <c r="D71" s="23"/>
      <c r="E71" s="10"/>
      <c r="F71" s="42" t="s">
        <v>212</v>
      </c>
      <c r="G71" s="57" t="s">
        <v>13</v>
      </c>
      <c r="H71" s="44" t="s">
        <v>14</v>
      </c>
      <c r="I71" s="24" t="s">
        <v>213</v>
      </c>
      <c r="J71" s="27"/>
      <c r="K71" s="52">
        <v>3</v>
      </c>
      <c r="L71" s="22" t="s">
        <v>214</v>
      </c>
    </row>
    <row r="72" s="1" customFormat="1" ht="37.5" customHeight="1" spans="2:12">
      <c r="B72" s="10">
        <v>70</v>
      </c>
      <c r="C72" s="49" t="s">
        <v>215</v>
      </c>
      <c r="D72" s="24" t="s">
        <v>216</v>
      </c>
      <c r="E72" s="59" t="s">
        <v>217</v>
      </c>
      <c r="F72" s="42" t="s">
        <v>218</v>
      </c>
      <c r="G72" s="43" t="s">
        <v>61</v>
      </c>
      <c r="H72" s="44" t="s">
        <v>50</v>
      </c>
      <c r="I72" s="24" t="s">
        <v>219</v>
      </c>
      <c r="J72" s="27"/>
      <c r="K72" s="52">
        <v>4</v>
      </c>
      <c r="L72" s="22" t="s">
        <v>220</v>
      </c>
    </row>
    <row r="73" s="1" customFormat="1" ht="33" spans="2:12">
      <c r="B73" s="10">
        <v>71</v>
      </c>
      <c r="C73" s="51"/>
      <c r="D73" s="60" t="s">
        <v>221</v>
      </c>
      <c r="E73" s="15"/>
      <c r="F73" s="42" t="s">
        <v>222</v>
      </c>
      <c r="G73" s="43" t="s">
        <v>13</v>
      </c>
      <c r="H73" s="44" t="s">
        <v>223</v>
      </c>
      <c r="I73" s="24" t="s">
        <v>224</v>
      </c>
      <c r="J73" s="27"/>
      <c r="K73" s="52">
        <v>2</v>
      </c>
      <c r="L73" s="22" t="s">
        <v>225</v>
      </c>
    </row>
    <row r="74" s="1" customFormat="1" ht="33" spans="2:12">
      <c r="B74" s="10">
        <v>72</v>
      </c>
      <c r="C74" s="51"/>
      <c r="D74" s="60"/>
      <c r="E74" s="23"/>
      <c r="F74" s="42" t="s">
        <v>226</v>
      </c>
      <c r="G74" s="43" t="s">
        <v>13</v>
      </c>
      <c r="H74" s="44" t="s">
        <v>223</v>
      </c>
      <c r="I74" s="24" t="s">
        <v>227</v>
      </c>
      <c r="J74" s="27"/>
      <c r="K74" s="52">
        <v>2</v>
      </c>
      <c r="L74" s="22" t="s">
        <v>228</v>
      </c>
    </row>
    <row r="75" s="1" customFormat="1" ht="30" customHeight="1" spans="2:12">
      <c r="B75" s="10">
        <v>73</v>
      </c>
      <c r="C75" s="51"/>
      <c r="D75" s="60"/>
      <c r="E75" s="23"/>
      <c r="F75" s="42" t="s">
        <v>229</v>
      </c>
      <c r="G75" s="43" t="s">
        <v>13</v>
      </c>
      <c r="H75" s="44" t="s">
        <v>14</v>
      </c>
      <c r="I75" s="24" t="s">
        <v>230</v>
      </c>
      <c r="J75" s="27"/>
      <c r="K75" s="52">
        <v>4</v>
      </c>
      <c r="L75" s="22" t="s">
        <v>231</v>
      </c>
    </row>
    <row r="76" s="1" customFormat="1" ht="30" customHeight="1" spans="2:12">
      <c r="B76" s="10">
        <v>74</v>
      </c>
      <c r="C76" s="51"/>
      <c r="D76" s="60"/>
      <c r="E76" s="23"/>
      <c r="F76" s="42" t="s">
        <v>232</v>
      </c>
      <c r="G76" s="43" t="s">
        <v>13</v>
      </c>
      <c r="H76" s="44" t="s">
        <v>14</v>
      </c>
      <c r="I76" s="24" t="s">
        <v>230</v>
      </c>
      <c r="J76" s="27"/>
      <c r="K76" s="52">
        <v>4</v>
      </c>
      <c r="L76" s="22" t="s">
        <v>233</v>
      </c>
    </row>
    <row r="77" s="1" customFormat="1" ht="33" spans="2:12">
      <c r="B77" s="10">
        <v>75</v>
      </c>
      <c r="C77" s="51"/>
      <c r="D77" s="60"/>
      <c r="E77" s="23"/>
      <c r="F77" s="42" t="s">
        <v>234</v>
      </c>
      <c r="G77" s="43" t="s">
        <v>61</v>
      </c>
      <c r="H77" s="44" t="s">
        <v>50</v>
      </c>
      <c r="I77" s="24" t="s">
        <v>235</v>
      </c>
      <c r="J77" s="27"/>
      <c r="K77" s="52">
        <v>4</v>
      </c>
      <c r="L77" s="22" t="s">
        <v>236</v>
      </c>
    </row>
    <row r="78" s="1" customFormat="1" spans="2:12">
      <c r="B78" s="10">
        <v>76</v>
      </c>
      <c r="C78" s="51"/>
      <c r="D78" s="60"/>
      <c r="E78" s="23"/>
      <c r="F78" s="42" t="s">
        <v>237</v>
      </c>
      <c r="G78" s="43" t="s">
        <v>13</v>
      </c>
      <c r="H78" s="44" t="s">
        <v>14</v>
      </c>
      <c r="I78" s="24" t="s">
        <v>238</v>
      </c>
      <c r="J78" s="27"/>
      <c r="K78" s="52">
        <v>3</v>
      </c>
      <c r="L78" s="22" t="s">
        <v>239</v>
      </c>
    </row>
    <row r="79" s="1" customFormat="1" ht="15.65" customHeight="1" spans="2:12">
      <c r="B79" s="10">
        <v>77</v>
      </c>
      <c r="C79" s="51"/>
      <c r="D79" s="60"/>
      <c r="E79" s="23"/>
      <c r="F79" s="42" t="s">
        <v>240</v>
      </c>
      <c r="G79" s="43" t="s">
        <v>13</v>
      </c>
      <c r="H79" s="44" t="s">
        <v>14</v>
      </c>
      <c r="I79" s="24" t="s">
        <v>241</v>
      </c>
      <c r="J79" s="27"/>
      <c r="K79" s="52">
        <v>3</v>
      </c>
      <c r="L79" s="22" t="s">
        <v>242</v>
      </c>
    </row>
    <row r="80" s="1" customFormat="1" spans="2:12">
      <c r="B80" s="10">
        <v>78</v>
      </c>
      <c r="C80" s="51"/>
      <c r="D80" s="60"/>
      <c r="E80" s="23"/>
      <c r="F80" s="42" t="s">
        <v>243</v>
      </c>
      <c r="G80" s="43" t="s">
        <v>61</v>
      </c>
      <c r="H80" s="44" t="s">
        <v>50</v>
      </c>
      <c r="I80" s="24" t="s">
        <v>244</v>
      </c>
      <c r="J80" s="27"/>
      <c r="K80" s="52">
        <v>6</v>
      </c>
      <c r="L80" s="22" t="s">
        <v>245</v>
      </c>
    </row>
    <row r="81" s="1" customFormat="1" spans="2:12">
      <c r="B81" s="10">
        <v>79</v>
      </c>
      <c r="C81" s="53"/>
      <c r="D81" s="60"/>
      <c r="E81" s="10"/>
      <c r="F81" s="42" t="s">
        <v>243</v>
      </c>
      <c r="G81" s="43" t="s">
        <v>13</v>
      </c>
      <c r="H81" s="44" t="s">
        <v>14</v>
      </c>
      <c r="I81" s="24" t="s">
        <v>246</v>
      </c>
      <c r="J81" s="30"/>
      <c r="K81" s="55">
        <v>2</v>
      </c>
      <c r="L81" s="22" t="s">
        <v>247</v>
      </c>
    </row>
    <row r="82" s="1" customFormat="1" ht="30.75" customHeight="1" spans="2:12">
      <c r="B82" s="10">
        <v>80</v>
      </c>
      <c r="C82" s="15" t="s">
        <v>248</v>
      </c>
      <c r="D82" s="15" t="s">
        <v>248</v>
      </c>
      <c r="E82" s="15"/>
      <c r="F82" s="42" t="s">
        <v>249</v>
      </c>
      <c r="G82" s="43" t="s">
        <v>13</v>
      </c>
      <c r="H82" s="44" t="s">
        <v>101</v>
      </c>
      <c r="I82" s="24" t="s">
        <v>250</v>
      </c>
      <c r="J82" s="20" t="s">
        <v>251</v>
      </c>
      <c r="K82" s="61">
        <f>8*3</f>
        <v>24</v>
      </c>
      <c r="L82" s="22" t="s">
        <v>252</v>
      </c>
    </row>
    <row r="83" s="1" customFormat="1" ht="30.75" customHeight="1" spans="2:12">
      <c r="B83" s="10">
        <v>81</v>
      </c>
      <c r="C83" s="23"/>
      <c r="D83" s="23"/>
      <c r="E83" s="23"/>
      <c r="F83" s="42" t="s">
        <v>253</v>
      </c>
      <c r="G83" s="43" t="s">
        <v>61</v>
      </c>
      <c r="H83" s="44" t="s">
        <v>50</v>
      </c>
      <c r="I83" s="24" t="s">
        <v>254</v>
      </c>
      <c r="J83" s="45"/>
      <c r="K83" s="62">
        <v>8</v>
      </c>
      <c r="L83" s="22" t="s">
        <v>255</v>
      </c>
    </row>
    <row r="84" s="1" customFormat="1" ht="30.75" customHeight="1" spans="2:12">
      <c r="B84" s="10">
        <v>82</v>
      </c>
      <c r="C84" s="23"/>
      <c r="D84" s="23"/>
      <c r="E84" s="23"/>
      <c r="F84" s="42" t="s">
        <v>253</v>
      </c>
      <c r="G84" s="43" t="s">
        <v>13</v>
      </c>
      <c r="H84" s="44" t="s">
        <v>14</v>
      </c>
      <c r="I84" s="24" t="s">
        <v>254</v>
      </c>
      <c r="J84" s="45"/>
      <c r="K84" s="62">
        <v>4</v>
      </c>
      <c r="L84" s="22"/>
    </row>
    <row r="85" s="1" customFormat="1" ht="30.75" customHeight="1" spans="2:12">
      <c r="B85" s="10">
        <v>83</v>
      </c>
      <c r="C85" s="10"/>
      <c r="D85" s="10"/>
      <c r="E85" s="10"/>
      <c r="F85" s="42" t="s">
        <v>256</v>
      </c>
      <c r="G85" s="43" t="s">
        <v>13</v>
      </c>
      <c r="H85" s="44" t="s">
        <v>14</v>
      </c>
      <c r="I85" s="24" t="s">
        <v>257</v>
      </c>
      <c r="J85" s="47"/>
      <c r="K85" s="63">
        <v>8</v>
      </c>
      <c r="L85" s="22" t="s">
        <v>258</v>
      </c>
    </row>
    <row r="86" s="1" customFormat="1" ht="31.15" customHeight="1" spans="2:12">
      <c r="B86" s="10">
        <v>84</v>
      </c>
      <c r="C86" s="15" t="s">
        <v>259</v>
      </c>
      <c r="D86" s="15" t="s">
        <v>260</v>
      </c>
      <c r="E86" s="59" t="s">
        <v>261</v>
      </c>
      <c r="F86" s="42" t="s">
        <v>262</v>
      </c>
      <c r="G86" s="43" t="s">
        <v>13</v>
      </c>
      <c r="H86" s="44" t="s">
        <v>14</v>
      </c>
      <c r="I86" s="24" t="s">
        <v>263</v>
      </c>
      <c r="J86" s="15" t="s">
        <v>132</v>
      </c>
      <c r="K86" s="50">
        <v>8</v>
      </c>
      <c r="L86" s="22" t="s">
        <v>264</v>
      </c>
    </row>
    <row r="87" s="1" customFormat="1" spans="2:12">
      <c r="B87" s="10">
        <v>85</v>
      </c>
      <c r="C87" s="23"/>
      <c r="D87" s="23"/>
      <c r="E87" s="64"/>
      <c r="F87" s="42" t="s">
        <v>265</v>
      </c>
      <c r="G87" s="43" t="s">
        <v>13</v>
      </c>
      <c r="H87" s="44" t="s">
        <v>14</v>
      </c>
      <c r="I87" s="24" t="s">
        <v>266</v>
      </c>
      <c r="J87" s="23"/>
      <c r="K87" s="52">
        <v>2</v>
      </c>
      <c r="L87" s="22" t="s">
        <v>267</v>
      </c>
    </row>
    <row r="88" s="1" customFormat="1" customHeight="1" spans="2:12">
      <c r="B88" s="10">
        <v>86</v>
      </c>
      <c r="C88" s="23"/>
      <c r="D88" s="23"/>
      <c r="E88" s="64"/>
      <c r="F88" s="42" t="s">
        <v>268</v>
      </c>
      <c r="G88" s="43" t="s">
        <v>13</v>
      </c>
      <c r="H88" s="44" t="s">
        <v>14</v>
      </c>
      <c r="I88" s="24" t="s">
        <v>269</v>
      </c>
      <c r="J88" s="23"/>
      <c r="K88" s="52">
        <v>3</v>
      </c>
      <c r="L88" s="28" t="s">
        <v>270</v>
      </c>
    </row>
    <row r="89" s="1" customFormat="1" spans="2:12">
      <c r="B89" s="10">
        <v>87</v>
      </c>
      <c r="C89" s="23"/>
      <c r="D89" s="23"/>
      <c r="E89" s="64"/>
      <c r="F89" s="42" t="s">
        <v>271</v>
      </c>
      <c r="G89" s="43" t="s">
        <v>13</v>
      </c>
      <c r="H89" s="44" t="s">
        <v>14</v>
      </c>
      <c r="I89" s="24" t="s">
        <v>272</v>
      </c>
      <c r="J89" s="23"/>
      <c r="K89" s="52">
        <v>3</v>
      </c>
      <c r="L89" s="22" t="s">
        <v>247</v>
      </c>
    </row>
    <row r="90" s="1" customFormat="1" spans="2:12">
      <c r="B90" s="10">
        <v>88</v>
      </c>
      <c r="C90" s="23"/>
      <c r="D90" s="10"/>
      <c r="E90" s="64"/>
      <c r="F90" s="42" t="s">
        <v>271</v>
      </c>
      <c r="G90" s="43" t="s">
        <v>61</v>
      </c>
      <c r="H90" s="44" t="s">
        <v>50</v>
      </c>
      <c r="I90" s="24" t="s">
        <v>272</v>
      </c>
      <c r="J90" s="23"/>
      <c r="K90" s="52">
        <v>6</v>
      </c>
      <c r="L90" s="22" t="s">
        <v>245</v>
      </c>
    </row>
    <row r="91" s="1" customFormat="1" spans="2:12">
      <c r="B91" s="10">
        <v>89</v>
      </c>
      <c r="C91" s="23"/>
      <c r="D91" s="16" t="s">
        <v>273</v>
      </c>
      <c r="E91" s="64"/>
      <c r="F91" s="42" t="s">
        <v>274</v>
      </c>
      <c r="G91" s="43" t="s">
        <v>13</v>
      </c>
      <c r="H91" s="44" t="s">
        <v>14</v>
      </c>
      <c r="I91" s="24" t="s">
        <v>275</v>
      </c>
      <c r="J91" s="23"/>
      <c r="K91" s="52">
        <v>5</v>
      </c>
      <c r="L91" s="22" t="s">
        <v>276</v>
      </c>
    </row>
    <row r="92" s="1" customFormat="1" spans="2:12">
      <c r="B92" s="10">
        <v>90</v>
      </c>
      <c r="C92" s="23"/>
      <c r="D92" s="16"/>
      <c r="E92" s="64"/>
      <c r="F92" s="42" t="s">
        <v>277</v>
      </c>
      <c r="G92" s="43" t="s">
        <v>13</v>
      </c>
      <c r="H92" s="44" t="s">
        <v>14</v>
      </c>
      <c r="I92" s="24" t="s">
        <v>278</v>
      </c>
      <c r="J92" s="23"/>
      <c r="K92" s="52">
        <v>5</v>
      </c>
      <c r="L92" s="22" t="s">
        <v>276</v>
      </c>
    </row>
    <row r="93" s="1" customFormat="1" ht="82.5" spans="2:12">
      <c r="B93" s="10">
        <v>91</v>
      </c>
      <c r="C93" s="23"/>
      <c r="D93" s="16"/>
      <c r="E93" s="64"/>
      <c r="F93" s="42" t="s">
        <v>279</v>
      </c>
      <c r="G93" s="43" t="s">
        <v>13</v>
      </c>
      <c r="H93" s="44" t="s">
        <v>14</v>
      </c>
      <c r="I93" s="24" t="s">
        <v>280</v>
      </c>
      <c r="J93" s="23"/>
      <c r="K93" s="52">
        <v>3</v>
      </c>
      <c r="L93" s="28" t="s">
        <v>270</v>
      </c>
    </row>
    <row r="94" s="1" customFormat="1" spans="2:12">
      <c r="B94" s="10">
        <v>92</v>
      </c>
      <c r="C94" s="23"/>
      <c r="D94" s="16"/>
      <c r="E94" s="64"/>
      <c r="F94" s="42" t="s">
        <v>281</v>
      </c>
      <c r="G94" s="43" t="s">
        <v>13</v>
      </c>
      <c r="H94" s="44" t="s">
        <v>14</v>
      </c>
      <c r="I94" s="24" t="s">
        <v>282</v>
      </c>
      <c r="J94" s="23"/>
      <c r="K94" s="52">
        <v>3</v>
      </c>
      <c r="L94" s="22" t="s">
        <v>247</v>
      </c>
    </row>
    <row r="95" s="1" customFormat="1" spans="2:12">
      <c r="B95" s="10">
        <v>93</v>
      </c>
      <c r="C95" s="23"/>
      <c r="D95" s="16"/>
      <c r="E95" s="64"/>
      <c r="F95" s="42" t="s">
        <v>281</v>
      </c>
      <c r="G95" s="43" t="s">
        <v>61</v>
      </c>
      <c r="H95" s="44" t="s">
        <v>50</v>
      </c>
      <c r="I95" s="24" t="s">
        <v>282</v>
      </c>
      <c r="J95" s="23"/>
      <c r="K95" s="52">
        <v>6</v>
      </c>
      <c r="L95" s="22" t="s">
        <v>245</v>
      </c>
    </row>
    <row r="96" s="1" customFormat="1" ht="17.5" customHeight="1" spans="2:12">
      <c r="B96" s="10">
        <v>94</v>
      </c>
      <c r="C96" s="23"/>
      <c r="D96" s="15" t="s">
        <v>283</v>
      </c>
      <c r="E96" s="15"/>
      <c r="F96" s="42" t="s">
        <v>284</v>
      </c>
      <c r="G96" s="43" t="s">
        <v>13</v>
      </c>
      <c r="H96" s="44" t="s">
        <v>14</v>
      </c>
      <c r="I96" s="24" t="s">
        <v>285</v>
      </c>
      <c r="J96" s="23"/>
      <c r="K96" s="52">
        <v>3</v>
      </c>
      <c r="L96" s="22" t="s">
        <v>286</v>
      </c>
    </row>
    <row r="97" s="1" customFormat="1" ht="17.5" customHeight="1" spans="2:12">
      <c r="B97" s="10">
        <v>95</v>
      </c>
      <c r="C97" s="23"/>
      <c r="D97" s="23"/>
      <c r="E97" s="23"/>
      <c r="F97" s="42" t="s">
        <v>287</v>
      </c>
      <c r="G97" s="43" t="s">
        <v>13</v>
      </c>
      <c r="H97" s="44" t="s">
        <v>14</v>
      </c>
      <c r="I97" s="24" t="s">
        <v>288</v>
      </c>
      <c r="J97" s="23"/>
      <c r="K97" s="52">
        <v>4</v>
      </c>
      <c r="L97" s="22" t="s">
        <v>289</v>
      </c>
    </row>
    <row r="98" s="1" customFormat="1" spans="2:12">
      <c r="B98" s="10">
        <v>96</v>
      </c>
      <c r="C98" s="23"/>
      <c r="D98" s="23"/>
      <c r="E98" s="23"/>
      <c r="F98" s="42" t="s">
        <v>290</v>
      </c>
      <c r="G98" s="43" t="s">
        <v>13</v>
      </c>
      <c r="H98" s="44" t="s">
        <v>14</v>
      </c>
      <c r="I98" s="24" t="s">
        <v>291</v>
      </c>
      <c r="J98" s="23"/>
      <c r="K98" s="52">
        <v>4</v>
      </c>
      <c r="L98" s="22" t="s">
        <v>292</v>
      </c>
    </row>
    <row r="99" s="1" customFormat="1" ht="17.5" customHeight="1" spans="2:12">
      <c r="B99" s="10">
        <v>97</v>
      </c>
      <c r="C99" s="23"/>
      <c r="D99" s="23"/>
      <c r="E99" s="23"/>
      <c r="F99" s="42" t="s">
        <v>293</v>
      </c>
      <c r="G99" s="43" t="s">
        <v>13</v>
      </c>
      <c r="H99" s="44" t="s">
        <v>14</v>
      </c>
      <c r="I99" s="24" t="s">
        <v>294</v>
      </c>
      <c r="J99" s="23"/>
      <c r="K99" s="52">
        <v>4</v>
      </c>
      <c r="L99" s="22" t="s">
        <v>295</v>
      </c>
    </row>
    <row r="100" s="1" customFormat="1" ht="33" spans="2:12">
      <c r="B100" s="10">
        <v>98</v>
      </c>
      <c r="C100" s="23"/>
      <c r="D100" s="23"/>
      <c r="E100" s="23"/>
      <c r="F100" s="42" t="s">
        <v>296</v>
      </c>
      <c r="G100" s="43" t="s">
        <v>13</v>
      </c>
      <c r="H100" s="44" t="s">
        <v>14</v>
      </c>
      <c r="I100" s="24" t="s">
        <v>297</v>
      </c>
      <c r="J100" s="23"/>
      <c r="K100" s="52">
        <v>2</v>
      </c>
      <c r="L100" s="22" t="s">
        <v>298</v>
      </c>
    </row>
    <row r="101" s="1" customFormat="1" spans="2:12">
      <c r="B101" s="10">
        <v>99</v>
      </c>
      <c r="C101" s="23"/>
      <c r="D101" s="23"/>
      <c r="E101" s="23"/>
      <c r="F101" s="42" t="s">
        <v>299</v>
      </c>
      <c r="G101" s="43" t="s">
        <v>13</v>
      </c>
      <c r="H101" s="44" t="s">
        <v>14</v>
      </c>
      <c r="I101" s="24" t="s">
        <v>300</v>
      </c>
      <c r="J101" s="23"/>
      <c r="K101" s="52">
        <v>2</v>
      </c>
      <c r="L101" s="22"/>
    </row>
    <row r="102" s="1" customFormat="1" spans="2:12">
      <c r="B102" s="10">
        <v>100</v>
      </c>
      <c r="C102" s="23"/>
      <c r="D102" s="23"/>
      <c r="E102" s="23"/>
      <c r="F102" s="42" t="s">
        <v>301</v>
      </c>
      <c r="G102" s="43" t="s">
        <v>13</v>
      </c>
      <c r="H102" s="44" t="s">
        <v>14</v>
      </c>
      <c r="I102" s="24" t="s">
        <v>300</v>
      </c>
      <c r="J102" s="23"/>
      <c r="K102" s="52">
        <v>2</v>
      </c>
      <c r="L102" s="22"/>
    </row>
    <row r="103" s="1" customFormat="1" spans="2:12">
      <c r="B103" s="10">
        <v>101</v>
      </c>
      <c r="C103" s="23"/>
      <c r="D103" s="10"/>
      <c r="E103" s="10"/>
      <c r="F103" s="42" t="s">
        <v>302</v>
      </c>
      <c r="G103" s="43" t="s">
        <v>13</v>
      </c>
      <c r="H103" s="44" t="s">
        <v>14</v>
      </c>
      <c r="I103" s="24" t="s">
        <v>300</v>
      </c>
      <c r="J103" s="23"/>
      <c r="K103" s="52">
        <v>2</v>
      </c>
      <c r="L103" s="22"/>
    </row>
    <row r="104" s="1" customFormat="1" spans="2:12">
      <c r="B104" s="10">
        <v>102</v>
      </c>
      <c r="C104" s="23"/>
      <c r="D104" s="23" t="s">
        <v>303</v>
      </c>
      <c r="E104" s="15"/>
      <c r="F104" s="42" t="s">
        <v>284</v>
      </c>
      <c r="G104" s="43" t="s">
        <v>61</v>
      </c>
      <c r="H104" s="44" t="s">
        <v>50</v>
      </c>
      <c r="I104" s="24" t="s">
        <v>304</v>
      </c>
      <c r="J104" s="23"/>
      <c r="K104" s="52">
        <v>4</v>
      </c>
      <c r="L104" s="22" t="s">
        <v>305</v>
      </c>
    </row>
    <row r="105" s="1" customFormat="1" spans="2:12">
      <c r="B105" s="10">
        <v>103</v>
      </c>
      <c r="C105" s="23"/>
      <c r="D105" s="23"/>
      <c r="E105" s="23"/>
      <c r="F105" s="42" t="s">
        <v>290</v>
      </c>
      <c r="G105" s="43" t="s">
        <v>61</v>
      </c>
      <c r="H105" s="44" t="s">
        <v>50</v>
      </c>
      <c r="I105" s="24" t="s">
        <v>291</v>
      </c>
      <c r="J105" s="23"/>
      <c r="K105" s="52">
        <v>4</v>
      </c>
      <c r="L105" s="22" t="s">
        <v>306</v>
      </c>
    </row>
    <row r="106" s="1" customFormat="1" spans="2:12">
      <c r="B106" s="10">
        <v>104</v>
      </c>
      <c r="C106" s="23"/>
      <c r="D106" s="23"/>
      <c r="E106" s="23"/>
      <c r="F106" s="42" t="s">
        <v>293</v>
      </c>
      <c r="G106" s="43" t="s">
        <v>61</v>
      </c>
      <c r="H106" s="44" t="s">
        <v>50</v>
      </c>
      <c r="I106" s="24" t="s">
        <v>294</v>
      </c>
      <c r="J106" s="23"/>
      <c r="K106" s="52">
        <v>4</v>
      </c>
      <c r="L106" s="22" t="s">
        <v>307</v>
      </c>
    </row>
    <row r="107" s="1" customFormat="1" spans="2:12">
      <c r="B107" s="10">
        <v>105</v>
      </c>
      <c r="C107" s="23"/>
      <c r="D107" s="23"/>
      <c r="E107" s="23"/>
      <c r="F107" s="42" t="s">
        <v>296</v>
      </c>
      <c r="G107" s="43" t="s">
        <v>61</v>
      </c>
      <c r="H107" s="44" t="s">
        <v>50</v>
      </c>
      <c r="I107" s="24" t="s">
        <v>300</v>
      </c>
      <c r="J107" s="23"/>
      <c r="K107" s="52">
        <v>4</v>
      </c>
      <c r="L107" s="22" t="s">
        <v>308</v>
      </c>
    </row>
    <row r="108" s="1" customFormat="1" spans="2:12">
      <c r="B108" s="10">
        <v>106</v>
      </c>
      <c r="C108" s="23"/>
      <c r="D108" s="23"/>
      <c r="E108" s="23"/>
      <c r="F108" s="42" t="s">
        <v>299</v>
      </c>
      <c r="G108" s="43" t="s">
        <v>61</v>
      </c>
      <c r="H108" s="44" t="s">
        <v>50</v>
      </c>
      <c r="I108" s="24" t="s">
        <v>300</v>
      </c>
      <c r="J108" s="23"/>
      <c r="K108" s="52">
        <v>4</v>
      </c>
      <c r="L108" s="22"/>
    </row>
    <row r="109" s="1" customFormat="1" spans="2:12">
      <c r="B109" s="10">
        <v>107</v>
      </c>
      <c r="C109" s="23"/>
      <c r="D109" s="23"/>
      <c r="E109" s="23"/>
      <c r="F109" s="42" t="s">
        <v>301</v>
      </c>
      <c r="G109" s="43" t="s">
        <v>61</v>
      </c>
      <c r="H109" s="44" t="s">
        <v>50</v>
      </c>
      <c r="I109" s="24" t="s">
        <v>300</v>
      </c>
      <c r="J109" s="23"/>
      <c r="K109" s="52">
        <v>4</v>
      </c>
      <c r="L109" s="22"/>
    </row>
    <row r="110" s="1" customFormat="1" spans="2:12">
      <c r="B110" s="10">
        <v>108</v>
      </c>
      <c r="C110" s="10"/>
      <c r="D110" s="10"/>
      <c r="E110" s="10"/>
      <c r="F110" s="42" t="s">
        <v>302</v>
      </c>
      <c r="G110" s="43" t="s">
        <v>61</v>
      </c>
      <c r="H110" s="44" t="s">
        <v>50</v>
      </c>
      <c r="I110" s="24" t="s">
        <v>300</v>
      </c>
      <c r="J110" s="10"/>
      <c r="K110" s="55">
        <v>4</v>
      </c>
      <c r="L110" s="22"/>
    </row>
    <row r="111" s="1" customFormat="1" ht="31.15" customHeight="1" spans="2:12">
      <c r="B111" s="10">
        <v>109</v>
      </c>
      <c r="C111" s="15" t="s">
        <v>309</v>
      </c>
      <c r="D111" s="17" t="s">
        <v>310</v>
      </c>
      <c r="E111" s="32" t="s">
        <v>311</v>
      </c>
      <c r="F111" s="42" t="s">
        <v>312</v>
      </c>
      <c r="G111" s="43" t="s">
        <v>13</v>
      </c>
      <c r="H111" s="44" t="s">
        <v>14</v>
      </c>
      <c r="I111" s="24" t="s">
        <v>313</v>
      </c>
      <c r="J111" s="15" t="s">
        <v>132</v>
      </c>
      <c r="K111" s="50">
        <v>4</v>
      </c>
      <c r="L111" s="22" t="s">
        <v>314</v>
      </c>
    </row>
    <row r="112" s="1" customFormat="1" ht="22.9" customHeight="1" spans="2:12">
      <c r="B112" s="10">
        <v>110</v>
      </c>
      <c r="C112" s="23"/>
      <c r="D112" s="16"/>
      <c r="E112" s="35"/>
      <c r="F112" s="42" t="s">
        <v>315</v>
      </c>
      <c r="G112" s="43" t="s">
        <v>13</v>
      </c>
      <c r="H112" s="44" t="s">
        <v>14</v>
      </c>
      <c r="I112" s="24" t="s">
        <v>316</v>
      </c>
      <c r="J112" s="23"/>
      <c r="K112" s="52">
        <v>3</v>
      </c>
      <c r="L112" s="22" t="s">
        <v>317</v>
      </c>
    </row>
    <row r="113" s="1" customFormat="1" ht="39" customHeight="1" spans="2:12">
      <c r="B113" s="10">
        <v>111</v>
      </c>
      <c r="C113" s="23"/>
      <c r="D113" s="16"/>
      <c r="E113" s="35"/>
      <c r="F113" s="42" t="s">
        <v>318</v>
      </c>
      <c r="G113" s="43" t="s">
        <v>13</v>
      </c>
      <c r="H113" s="44" t="s">
        <v>14</v>
      </c>
      <c r="I113" s="24" t="s">
        <v>319</v>
      </c>
      <c r="J113" s="23"/>
      <c r="K113" s="52">
        <v>2</v>
      </c>
      <c r="L113" s="22" t="s">
        <v>320</v>
      </c>
    </row>
    <row r="114" s="1" customFormat="1" ht="39" customHeight="1" spans="2:12">
      <c r="B114" s="10">
        <v>112</v>
      </c>
      <c r="C114" s="23"/>
      <c r="D114" s="16"/>
      <c r="E114" s="35"/>
      <c r="F114" s="42" t="s">
        <v>321</v>
      </c>
      <c r="G114" s="43" t="s">
        <v>61</v>
      </c>
      <c r="H114" s="44" t="s">
        <v>50</v>
      </c>
      <c r="I114" s="24" t="s">
        <v>322</v>
      </c>
      <c r="J114" s="23"/>
      <c r="K114" s="52">
        <v>6</v>
      </c>
      <c r="L114" s="22" t="s">
        <v>323</v>
      </c>
    </row>
    <row r="115" s="1" customFormat="1" ht="27.75" customHeight="1" spans="2:12">
      <c r="B115" s="10">
        <v>113</v>
      </c>
      <c r="C115" s="23"/>
      <c r="D115" s="16"/>
      <c r="E115" s="39"/>
      <c r="F115" s="42" t="s">
        <v>324</v>
      </c>
      <c r="G115" s="43" t="s">
        <v>13</v>
      </c>
      <c r="H115" s="44" t="s">
        <v>14</v>
      </c>
      <c r="I115" s="24" t="s">
        <v>325</v>
      </c>
      <c r="J115" s="23"/>
      <c r="K115" s="52">
        <v>2</v>
      </c>
      <c r="L115" s="22" t="s">
        <v>326</v>
      </c>
    </row>
    <row r="116" s="1" customFormat="1" ht="32.25" customHeight="1" spans="2:12">
      <c r="B116" s="10">
        <v>114</v>
      </c>
      <c r="C116" s="23"/>
      <c r="D116" s="17" t="s">
        <v>327</v>
      </c>
      <c r="E116" s="32" t="s">
        <v>328</v>
      </c>
      <c r="F116" s="42" t="s">
        <v>329</v>
      </c>
      <c r="G116" s="43" t="s">
        <v>61</v>
      </c>
      <c r="H116" s="44" t="s">
        <v>50</v>
      </c>
      <c r="I116" s="24" t="s">
        <v>330</v>
      </c>
      <c r="J116" s="23"/>
      <c r="K116" s="52">
        <v>20</v>
      </c>
      <c r="L116" s="22" t="s">
        <v>331</v>
      </c>
    </row>
    <row r="117" s="1" customFormat="1" ht="29.25" customHeight="1" spans="2:12">
      <c r="B117" s="10">
        <v>115</v>
      </c>
      <c r="C117" s="23"/>
      <c r="D117" s="17"/>
      <c r="E117" s="35"/>
      <c r="F117" s="42" t="s">
        <v>332</v>
      </c>
      <c r="G117" s="43" t="s">
        <v>13</v>
      </c>
      <c r="H117" s="44" t="s">
        <v>14</v>
      </c>
      <c r="I117" s="24" t="s">
        <v>333</v>
      </c>
      <c r="J117" s="23"/>
      <c r="K117" s="52">
        <v>5</v>
      </c>
      <c r="L117" s="22" t="s">
        <v>334</v>
      </c>
    </row>
    <row r="118" s="1" customFormat="1" ht="34.9" customHeight="1" spans="2:12">
      <c r="B118" s="10">
        <v>116</v>
      </c>
      <c r="C118" s="23"/>
      <c r="D118" s="16"/>
      <c r="E118" s="39"/>
      <c r="F118" s="42" t="s">
        <v>335</v>
      </c>
      <c r="G118" s="43" t="s">
        <v>61</v>
      </c>
      <c r="H118" s="44" t="s">
        <v>50</v>
      </c>
      <c r="I118" s="24" t="s">
        <v>336</v>
      </c>
      <c r="J118" s="23"/>
      <c r="K118" s="52">
        <v>8</v>
      </c>
      <c r="L118" s="22" t="s">
        <v>337</v>
      </c>
    </row>
    <row r="119" s="1" customFormat="1" ht="47.25" customHeight="1" spans="2:12">
      <c r="B119" s="10">
        <v>117</v>
      </c>
      <c r="C119" s="23"/>
      <c r="D119" s="17" t="s">
        <v>338</v>
      </c>
      <c r="E119" s="32" t="s">
        <v>339</v>
      </c>
      <c r="F119" s="42" t="s">
        <v>340</v>
      </c>
      <c r="G119" s="43" t="s">
        <v>13</v>
      </c>
      <c r="H119" s="44" t="s">
        <v>14</v>
      </c>
      <c r="I119" s="24" t="s">
        <v>341</v>
      </c>
      <c r="J119" s="23"/>
      <c r="K119" s="52">
        <v>4</v>
      </c>
      <c r="L119" s="22" t="s">
        <v>342</v>
      </c>
    </row>
    <row r="120" s="1" customFormat="1" ht="27" customHeight="1" spans="2:12">
      <c r="B120" s="10">
        <v>118</v>
      </c>
      <c r="C120" s="23"/>
      <c r="D120" s="17"/>
      <c r="E120" s="35"/>
      <c r="F120" s="42" t="s">
        <v>343</v>
      </c>
      <c r="G120" s="43" t="s">
        <v>13</v>
      </c>
      <c r="H120" s="44" t="s">
        <v>14</v>
      </c>
      <c r="I120" s="24" t="s">
        <v>344</v>
      </c>
      <c r="J120" s="23"/>
      <c r="K120" s="52">
        <v>2</v>
      </c>
      <c r="L120" s="22" t="s">
        <v>345</v>
      </c>
    </row>
    <row r="121" s="1" customFormat="1" ht="34.5" customHeight="1" spans="2:12">
      <c r="B121" s="10">
        <v>119</v>
      </c>
      <c r="C121" s="10"/>
      <c r="D121" s="16"/>
      <c r="E121" s="39"/>
      <c r="F121" s="42" t="s">
        <v>346</v>
      </c>
      <c r="G121" s="43" t="s">
        <v>61</v>
      </c>
      <c r="H121" s="44" t="s">
        <v>50</v>
      </c>
      <c r="I121" s="24" t="s">
        <v>347</v>
      </c>
      <c r="J121" s="10"/>
      <c r="K121" s="55">
        <v>4</v>
      </c>
      <c r="L121" s="22" t="s">
        <v>348</v>
      </c>
    </row>
    <row r="122" s="1" customFormat="1" spans="2:12">
      <c r="B122" s="10">
        <v>120</v>
      </c>
      <c r="C122" s="31" t="s">
        <v>349</v>
      </c>
      <c r="D122" s="20" t="s">
        <v>350</v>
      </c>
      <c r="E122" s="31"/>
      <c r="F122" s="20" t="s">
        <v>351</v>
      </c>
      <c r="G122" s="18" t="s">
        <v>135</v>
      </c>
      <c r="H122" s="44" t="s">
        <v>136</v>
      </c>
      <c r="I122" s="24" t="s">
        <v>352</v>
      </c>
      <c r="J122" s="15" t="s">
        <v>353</v>
      </c>
      <c r="K122" s="50">
        <v>3</v>
      </c>
      <c r="L122" s="22"/>
    </row>
    <row r="123" s="1" customFormat="1" ht="33" spans="2:12">
      <c r="B123" s="10">
        <v>121</v>
      </c>
      <c r="C123" s="33"/>
      <c r="D123" s="65" t="s">
        <v>354</v>
      </c>
      <c r="E123" s="33"/>
      <c r="F123" s="66" t="s">
        <v>355</v>
      </c>
      <c r="G123" s="18" t="s">
        <v>135</v>
      </c>
      <c r="H123" s="44" t="s">
        <v>136</v>
      </c>
      <c r="I123" s="24" t="s">
        <v>356</v>
      </c>
      <c r="J123" s="23"/>
      <c r="K123" s="52">
        <v>3</v>
      </c>
      <c r="L123" s="22" t="s">
        <v>357</v>
      </c>
    </row>
    <row r="124" s="1" customFormat="1" ht="30.75" customHeight="1" spans="2:12">
      <c r="B124" s="10">
        <v>122</v>
      </c>
      <c r="C124" s="33"/>
      <c r="D124" s="47" t="s">
        <v>358</v>
      </c>
      <c r="E124" s="33"/>
      <c r="F124" s="67" t="s">
        <v>358</v>
      </c>
      <c r="G124" s="31" t="s">
        <v>135</v>
      </c>
      <c r="H124" s="44" t="s">
        <v>136</v>
      </c>
      <c r="I124" s="24" t="s">
        <v>359</v>
      </c>
      <c r="J124" s="23"/>
      <c r="K124" s="52">
        <v>6</v>
      </c>
      <c r="L124" s="22" t="s">
        <v>360</v>
      </c>
    </row>
    <row r="125" s="1" customFormat="1" ht="19.9" customHeight="1" spans="2:12">
      <c r="B125" s="10">
        <v>123</v>
      </c>
      <c r="C125" s="33"/>
      <c r="D125" s="45" t="s">
        <v>361</v>
      </c>
      <c r="E125" s="33"/>
      <c r="F125" s="59" t="s">
        <v>362</v>
      </c>
      <c r="G125" s="31" t="s">
        <v>135</v>
      </c>
      <c r="H125" s="68" t="s">
        <v>136</v>
      </c>
      <c r="I125" s="24" t="s">
        <v>363</v>
      </c>
      <c r="J125" s="23"/>
      <c r="K125" s="52">
        <v>2</v>
      </c>
      <c r="L125" s="22" t="s">
        <v>364</v>
      </c>
    </row>
    <row r="126" s="1" customFormat="1" ht="33" spans="2:12">
      <c r="B126" s="10">
        <v>124</v>
      </c>
      <c r="C126" s="33"/>
      <c r="D126" s="20" t="s">
        <v>365</v>
      </c>
      <c r="E126" s="33"/>
      <c r="F126" s="69" t="s">
        <v>366</v>
      </c>
      <c r="G126" s="18" t="s">
        <v>135</v>
      </c>
      <c r="H126" s="19" t="s">
        <v>136</v>
      </c>
      <c r="I126" s="17" t="s">
        <v>367</v>
      </c>
      <c r="J126" s="23"/>
      <c r="K126" s="52">
        <v>4</v>
      </c>
      <c r="L126" s="22" t="s">
        <v>368</v>
      </c>
    </row>
    <row r="127" s="1" customFormat="1" ht="29.5" customHeight="1" spans="2:12">
      <c r="B127" s="10">
        <v>125</v>
      </c>
      <c r="C127" s="33"/>
      <c r="D127" s="47"/>
      <c r="E127" s="41"/>
      <c r="F127" s="24" t="s">
        <v>369</v>
      </c>
      <c r="G127" s="18" t="s">
        <v>135</v>
      </c>
      <c r="H127" s="26" t="s">
        <v>136</v>
      </c>
      <c r="I127" s="24" t="s">
        <v>370</v>
      </c>
      <c r="J127" s="23"/>
      <c r="K127" s="52">
        <v>6</v>
      </c>
      <c r="L127" s="28" t="s">
        <v>371</v>
      </c>
    </row>
    <row r="128" s="1" customFormat="1" ht="37.15" customHeight="1" spans="2:12">
      <c r="B128" s="10">
        <v>126</v>
      </c>
      <c r="C128" s="31" t="s">
        <v>372</v>
      </c>
      <c r="D128" s="70" t="s">
        <v>350</v>
      </c>
      <c r="E128" s="31"/>
      <c r="F128" s="38" t="s">
        <v>373</v>
      </c>
      <c r="G128" s="43" t="s">
        <v>61</v>
      </c>
      <c r="H128" s="68" t="s">
        <v>50</v>
      </c>
      <c r="I128" s="24" t="s">
        <v>374</v>
      </c>
      <c r="J128" s="23"/>
      <c r="K128" s="52">
        <v>8</v>
      </c>
      <c r="L128" s="22" t="s">
        <v>375</v>
      </c>
    </row>
    <row r="129" s="1" customFormat="1" ht="30.65" customHeight="1" spans="2:12">
      <c r="B129" s="10">
        <v>127</v>
      </c>
      <c r="C129" s="33"/>
      <c r="D129" s="56" t="s">
        <v>376</v>
      </c>
      <c r="E129" s="33"/>
      <c r="F129" s="71" t="s">
        <v>376</v>
      </c>
      <c r="G129" s="44" t="s">
        <v>61</v>
      </c>
      <c r="H129" s="25" t="s">
        <v>50</v>
      </c>
      <c r="I129" s="24" t="s">
        <v>377</v>
      </c>
      <c r="J129" s="23"/>
      <c r="K129" s="52">
        <v>6</v>
      </c>
      <c r="L129" s="22" t="s">
        <v>378</v>
      </c>
    </row>
    <row r="130" s="1" customFormat="1" ht="33" customHeight="1" spans="2:12">
      <c r="B130" s="10">
        <v>128</v>
      </c>
      <c r="C130" s="33"/>
      <c r="D130" s="56" t="s">
        <v>358</v>
      </c>
      <c r="E130" s="41"/>
      <c r="F130" s="72" t="s">
        <v>379</v>
      </c>
      <c r="G130" s="68" t="s">
        <v>61</v>
      </c>
      <c r="H130" s="25" t="s">
        <v>50</v>
      </c>
      <c r="I130" s="73" t="s">
        <v>379</v>
      </c>
      <c r="J130" s="10"/>
      <c r="K130" s="55">
        <v>6</v>
      </c>
      <c r="L130" s="22" t="s">
        <v>380</v>
      </c>
    </row>
    <row r="131" s="1" customFormat="1" ht="33" customHeight="1" spans="2:12">
      <c r="B131" s="10">
        <v>129</v>
      </c>
      <c r="C131" s="16" t="s">
        <v>381</v>
      </c>
      <c r="D131" s="74" t="s">
        <v>382</v>
      </c>
      <c r="E131" s="15"/>
      <c r="F131" s="72" t="s">
        <v>383</v>
      </c>
      <c r="G131" s="43" t="s">
        <v>13</v>
      </c>
      <c r="H131" s="75" t="s">
        <v>14</v>
      </c>
      <c r="I131" s="24" t="s">
        <v>384</v>
      </c>
      <c r="J131" s="15" t="s">
        <v>132</v>
      </c>
      <c r="K131" s="50">
        <v>3</v>
      </c>
      <c r="L131" s="22" t="s">
        <v>385</v>
      </c>
    </row>
    <row r="132" s="1" customFormat="1" ht="39.65" customHeight="1" spans="2:12">
      <c r="B132" s="10">
        <v>130</v>
      </c>
      <c r="C132" s="16"/>
      <c r="D132" s="76"/>
      <c r="E132" s="23"/>
      <c r="F132" s="59" t="s">
        <v>386</v>
      </c>
      <c r="G132" s="77" t="s">
        <v>13</v>
      </c>
      <c r="H132" s="68" t="s">
        <v>14</v>
      </c>
      <c r="I132" s="24" t="s">
        <v>387</v>
      </c>
      <c r="J132" s="23"/>
      <c r="K132" s="52">
        <v>3</v>
      </c>
      <c r="L132" s="22" t="s">
        <v>385</v>
      </c>
    </row>
    <row r="133" s="1" customFormat="1" ht="33" customHeight="1" spans="2:12">
      <c r="B133" s="10">
        <v>131</v>
      </c>
      <c r="C133" s="16"/>
      <c r="D133" s="54" t="s">
        <v>388</v>
      </c>
      <c r="E133" s="16"/>
      <c r="F133" s="24" t="s">
        <v>389</v>
      </c>
      <c r="G133" s="25" t="s">
        <v>61</v>
      </c>
      <c r="H133" s="26" t="s">
        <v>50</v>
      </c>
      <c r="I133" s="24" t="s">
        <v>390</v>
      </c>
      <c r="J133" s="10"/>
      <c r="K133" s="55">
        <v>6</v>
      </c>
      <c r="L133" s="22" t="s">
        <v>391</v>
      </c>
    </row>
  </sheetData>
  <mergeCells count="89">
    <mergeCell ref="B2:B3"/>
    <mergeCell ref="C2:C3"/>
    <mergeCell ref="C4:C14"/>
    <mergeCell ref="C15:C32"/>
    <mergeCell ref="C33:C44"/>
    <mergeCell ref="C45:C61"/>
    <mergeCell ref="C62:C65"/>
    <mergeCell ref="C66:C67"/>
    <mergeCell ref="C68:C69"/>
    <mergeCell ref="C70:C71"/>
    <mergeCell ref="C72:C81"/>
    <mergeCell ref="C82:C85"/>
    <mergeCell ref="C86:C110"/>
    <mergeCell ref="C111:C121"/>
    <mergeCell ref="C122:C127"/>
    <mergeCell ref="C128:C130"/>
    <mergeCell ref="C131:C133"/>
    <mergeCell ref="D2:D3"/>
    <mergeCell ref="D4:D12"/>
    <mergeCell ref="D13:D14"/>
    <mergeCell ref="D15:D21"/>
    <mergeCell ref="D22:D27"/>
    <mergeCell ref="D28:D30"/>
    <mergeCell ref="D31:D32"/>
    <mergeCell ref="D33:D42"/>
    <mergeCell ref="D43:D44"/>
    <mergeCell ref="D45:D56"/>
    <mergeCell ref="D57:D61"/>
    <mergeCell ref="D62:D65"/>
    <mergeCell ref="D66:D67"/>
    <mergeCell ref="D68:D69"/>
    <mergeCell ref="D70:D71"/>
    <mergeCell ref="D73:D81"/>
    <mergeCell ref="D82:D85"/>
    <mergeCell ref="D86:D90"/>
    <mergeCell ref="D91:D95"/>
    <mergeCell ref="D96:D103"/>
    <mergeCell ref="D104:D110"/>
    <mergeCell ref="D111:D115"/>
    <mergeCell ref="D116:D118"/>
    <mergeCell ref="D119:D121"/>
    <mergeCell ref="D126:D127"/>
    <mergeCell ref="D131:D132"/>
    <mergeCell ref="E2:E3"/>
    <mergeCell ref="E4:E12"/>
    <mergeCell ref="E13:E14"/>
    <mergeCell ref="E15:E21"/>
    <mergeCell ref="E22:E27"/>
    <mergeCell ref="E28:E30"/>
    <mergeCell ref="E31:E32"/>
    <mergeCell ref="E33:E42"/>
    <mergeCell ref="E43:E44"/>
    <mergeCell ref="E45:E56"/>
    <mergeCell ref="E57:E61"/>
    <mergeCell ref="E62:E65"/>
    <mergeCell ref="E66:E67"/>
    <mergeCell ref="E68:E69"/>
    <mergeCell ref="E70:E71"/>
    <mergeCell ref="E73:E81"/>
    <mergeCell ref="E82:E85"/>
    <mergeCell ref="E96:E103"/>
    <mergeCell ref="E104:E110"/>
    <mergeCell ref="E111:E115"/>
    <mergeCell ref="E116:E118"/>
    <mergeCell ref="E119:E121"/>
    <mergeCell ref="E122:E127"/>
    <mergeCell ref="E128:E130"/>
    <mergeCell ref="E131:E132"/>
    <mergeCell ref="F2:F3"/>
    <mergeCell ref="G2:G3"/>
    <mergeCell ref="H2:H3"/>
    <mergeCell ref="I2:I3"/>
    <mergeCell ref="I57:I59"/>
    <mergeCell ref="J2:J3"/>
    <mergeCell ref="J4:J14"/>
    <mergeCell ref="J15:J32"/>
    <mergeCell ref="J33:J44"/>
    <mergeCell ref="J45:J61"/>
    <mergeCell ref="J62:J65"/>
    <mergeCell ref="J66:J67"/>
    <mergeCell ref="J68:J69"/>
    <mergeCell ref="J70:J81"/>
    <mergeCell ref="J82:J85"/>
    <mergeCell ref="J86:J110"/>
    <mergeCell ref="J111:J121"/>
    <mergeCell ref="J122:J130"/>
    <mergeCell ref="J131:J133"/>
    <mergeCell ref="K2:K3"/>
    <mergeCell ref="K66:K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2026-07-03T10:40:00Z</dcterms:created>
  <dcterms:modified xsi:type="dcterms:W3CDTF">2026-07-05T05:46:17Z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336BFC6F1E834BFAA98CD086DB71E42C_12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
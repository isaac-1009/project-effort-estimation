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docProps/custom.xml" ContentType="application/vnd.openxmlformats-officedocument.custom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3" Type="http://schemas.openxmlformats.org/package/2006/relationships/metadata/core-properties" Target="docProps/core.xml"/><Relationship Id="rId2" Type="http://schemas.openxmlformats.org/officeDocument/2006/relationships/extended-properties" Target="docProps/app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dbsheet="http://web.wps.cn/et/2021/dbsheet" xmlns:mc="http://schemas.openxmlformats.org/markup-compatibility/2006" xmlns:x15="http://schemas.microsoft.com/office/spreadsheetml/2010/11/main" mc:Ignorable="x15">
  <fileVersion appName="xl" lastEdited="3" lowestEdited="5" rupBuild="9302"/>
  <workbookPr/>
  <mc:AlternateContent xmlns:mc="http://schemas.openxmlformats.org/markup-compatibility/2006">
    <mc:Choice Requires="x15">
      <x15ac:absPath xmlns:x15ac="http://schemas.microsoft.com/office/spreadsheetml/2010/11/ac" url="C:\Users\gaoming\workspace\project-effort-estimation\data\current\"/>
    </mc:Choice>
  </mc:AlternateContent>
  <bookViews>
    <workbookView windowWidth="28800" windowHeight="12255"/>
  </bookViews>
  <sheets>
    <sheet name="工时估算" sheetId="1" r:id="rId1"/>
  </sheet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<sst xmlns="http://schemas.openxmlformats.org/spreadsheetml/2006/main" count="122" uniqueCount="92">
  <si>
    <t>#</t>
  </si>
  <si>
    <t>模块</t>
  </si>
  <si>
    <t>功能</t>
  </si>
  <si>
    <t>需求类型</t>
  </si>
  <si>
    <t>描述</t>
  </si>
  <si>
    <t>系统</t>
  </si>
  <si>
    <t>工时(人天)</t>
  </si>
  <si>
    <t>备注</t>
  </si>
  <si>
    <t>功能开发</t>
  </si>
  <si>
    <t>应用数据统计展示</t>
  </si>
  <si>
    <t>功能优化</t>
  </si>
  <si>
    <t>统计应用，所有模块使用情况，推文互动数据统计展示</t>
  </si>
  <si>
    <t>企微</t>
  </si>
  <si>
    <t>数据埋点</t>
  </si>
  <si>
    <t>PC后台</t>
  </si>
  <si>
    <t>数据统计，展示，导出</t>
  </si>
  <si>
    <t>工单报修时间段数量限制</t>
  </si>
  <si>
    <t>工单报修修改（限制时间段可报修数量）</t>
  </si>
  <si>
    <t>报修时间段数量限制</t>
  </si>
  <si>
    <t>工单报修优化-处理人查看全部工单范围</t>
  </si>
  <si>
    <t>处理人可查看全部工单，扩大查询范围</t>
  </si>
  <si>
    <t>处理人视角工单列表查询范围扩展+权限判断</t>
  </si>
  <si>
    <t>工单报修优化-提交工单填手机号</t>
  </si>
  <si>
    <t>提交工单增加手机号，默认从Workday带出且可修改</t>
  </si>
  <si>
    <t>报修表单增加手机号，按登录人工号从Workday带出、可修改</t>
  </si>
  <si>
    <t>PC后台工单详情展示手机号</t>
  </si>
  <si>
    <t>工单报修优化-工单评价</t>
  </si>
  <si>
    <t>工单完成后提交人评价（打分+描述），PC后台查看评价</t>
  </si>
  <si>
    <t>评价提交：星级打分+文字描述、防重复提交、工单状态流转联动</t>
  </si>
  <si>
    <t>工单详情/列表查看评价（评分汇总图表并入数据统计与报告）</t>
  </si>
  <si>
    <t>工单报修优化-数据统计与报告</t>
  </si>
  <si>
    <t>工单数据统计看板与报告导出（含工单评价统计）</t>
  </si>
  <si>
    <t xml:space="preserve">统计看板（工单量趋势/状态/类型/处理时效+评价汇总）、报告导出Excel </t>
  </si>
  <si>
    <t>评论支持图片</t>
  </si>
  <si>
    <t>推文评论支持上传图片（最多九张）</t>
  </si>
  <si>
    <t>评论时可上传最多9张图片，支持图片预览和删除</t>
  </si>
  <si>
    <t>评论管理列表中显示评论配图缩略图，点击可查看大图</t>
  </si>
  <si>
    <t>名片申请优化</t>
  </si>
  <si>
    <t>多title，数据分析展示</t>
  </si>
  <si>
    <t>名片申请支持多title选择</t>
  </si>
  <si>
    <t>名片数据分析展示</t>
  </si>
  <si>
    <t>名片审核优化</t>
  </si>
  <si>
    <t>DAC接口增加manager_id_modified字段，如果manager id不存在，则用此字段</t>
  </si>
  <si>
    <t>DAC接口字段解析+存储扩展，名片审核审批人取值增加fallback逻辑</t>
  </si>
  <si>
    <t>门禁卡管理页面图片跳转</t>
  </si>
  <si>
    <t>门禁卡管理：页面图片增加点击可跳转</t>
  </si>
  <si>
    <t>门禁卡（闸机卡）页面图片增加点击跳转</t>
  </si>
  <si>
    <t>新增OpenAPI接口</t>
  </si>
  <si>
    <t>新功能</t>
  </si>
  <si>
    <t>Gateway 新增 openapi 3个</t>
  </si>
  <si>
    <t>Gateway</t>
  </si>
  <si>
    <t>用于访客获取员工信息支持</t>
  </si>
  <si>
    <t>机器人接口对接</t>
  </si>
  <si>
    <t>机器人接口对接：提供开放的API接口供机器人读取所需数据</t>
  </si>
  <si>
    <t>开放API设计、实现与对接联调（接口鉴权、数据范围控制）</t>
  </si>
  <si>
    <t>ISO 45001认证</t>
  </si>
  <si>
    <t>知识库、宣传渠道（静态页面）</t>
  </si>
  <si>
    <t>知识库分类查看，关键词搜索，附件下载，支持转发和收藏，数据统计</t>
  </si>
  <si>
    <t>知识库（图文+附件）维护，支持推送，关键字搜索，统计展示</t>
  </si>
  <si>
    <t>EAG</t>
  </si>
  <si>
    <t>小美龙再生邮局：闲置物品投递登记、ABCD分类、以物易物（自营库存+预约到店）、环保积分、排行榜、数据统计可视化（含回收数据展示）</t>
  </si>
  <si>
    <t>邮局首页与项目指南、物品登记（管理员端）、以物易物列表、在线预约、我的预约、环保积分与流水、排行榜展示</t>
  </si>
  <si>
    <t>物品登记台账与上架管理、开放时段配置、预约管理与核销、交换结果登记、积分激励管理、数据统计及可视化（含以物易物运营统计、图表导出）、排行榜统计</t>
  </si>
  <si>
    <t>行政小智-AI助手</t>
  </si>
  <si>
    <t>阶段一：基础问答
LLM技术选型、多模态可选集成（视所选LLM能力）、第三方LLM接入、React企微H5对话页、SSE消息通道（SLB长连接环境）、问答编排与拒答、热点问题/提示词/大模型更换后台配置、聊天记录导出与统计、新服务部署；</t>
  </si>
  <si>
    <t>AI助手</t>
  </si>
  <si>
    <t>阶段一：基础问答 员工在企业微信里即可与 AI 对话，回答逐句显示；后台可设回答范围、随时更换大模型，支持图片/语音提问（视所选大模型而定）。AI 还能介绍“行政部”应用（Facility）有哪些功能、各功能怎么操作。此阶段尚不能依据公司制度资料作答、也查不了业务数据。</t>
  </si>
  <si>
    <t>阶段二：知识增强RAG
文档解析分块、数据清洗、PG pgvector向量库、向量化混合检索、重排与RAG编排、知识库管理后台、效果调优、试运行反馈调优</t>
  </si>
  <si>
    <t>阶段二：知识库问答 把公司制度、文档、手册上传知识库后，AI 会先“翻资料”再回答，依据公司真实内容作答、不瞎编；行政人员可自行上传、更新资料，无需技术支持。此阶段仍查不了业务数据、不能办事。</t>
  </si>
  <si>
    <t>阶段三：数据与办事
Facility业务库DB定义解析（71张表）、企微身份绑定与鉴权、Facility数据API实时查询工具（Tool Calling）、行级鉴权/字段脱敏/查询审计、白名单机制与提交报修（二次确认）、注入防护、整体集成回归与灰度试运行调优</t>
  </si>
  <si>
    <t>阶段三：查数据、能办事 用大白话直接查业务数据，如“我的报修单到哪了”；按身份权限查数、敏感信息自动隐藏、全程留痕可追溯；可提交报修单，提交前二次确认。仅开放白名单内的查询与办事，其余操作一律不开放。</t>
  </si>
  <si>
    <t>工位、办公室管理系统</t>
  </si>
  <si>
    <t>工位与办公室管理：平面图编辑与查看、台账、固定分配与按天共享预订、统计看板与报告导出、基础数据维护（含Workday人事同步）、基础平面图数据建设</t>
  </si>
  <si>
    <t>平面图找工位、我的工位、管理员预订/释放</t>
  </si>
  <si>
    <t>平面图编辑器、台账、分配/预订管理、统计导出、权限、基础平面图数据建设、基础数据维护</t>
  </si>
  <si>
    <t>天气预警</t>
  </si>
  <si>
    <t>集成第三方天气API，支持主动推送预警到企微，员工可查询当前天气+预警信息</t>
  </si>
  <si>
    <t>第三方API接口，数据展示，企微消息推送</t>
  </si>
  <si>
    <t>功能测试</t>
  </si>
  <si>
    <t>-</t>
  </si>
  <si>
    <t>UI/UX设计</t>
  </si>
  <si>
    <t>验收发布</t>
  </si>
  <si>
    <t>需求沟通</t>
  </si>
  <si>
    <t>合计</t>
  </si>
  <si>
    <t>运维费用</t>
  </si>
  <si>
    <t>价格</t>
  </si>
  <si>
    <t>1.AI知识库服务器， 8C/16G/300GB 10Mb带宽</t>
  </si>
  <si>
    <t>￥18,000/年</t>
  </si>
  <si>
    <t>2.AI知识库定期维护更新+Facility运维</t>
  </si>
  <si>
    <t>64人天/年</t>
  </si>
  <si>
    <t>3.LLM Token消耗，以GLM5.3-flash为例， 每天1000次调用</t>
  </si>
  <si>
    <t>约￥3500/年</t>
  </si>
</sst>
</file>

<file path=xl/styles.xml><?xml version="1.0" encoding="utf-8"?>
<styleSheet xmlns="http://schemas.openxmlformats.org/spreadsheetml/2006/main" xmlns:mc="http://schemas.openxmlformats.org/markup-compatibility/2006" xmlns:xr9="http://schemas.microsoft.com/office/spreadsheetml/2016/revision9" mc:Ignorable="xr9">
  <numFmts count="4">
    <numFmt numFmtId="41" formatCode="_ * #,##0_ ;_ * \-#,##0_ ;_ * &quot;-&quot;_ ;_ @_ "/>
    <numFmt numFmtId="42" formatCode="_ &quot;￥&quot;* #,##0_ ;_ &quot;￥&quot;* \-#,##0_ ;_ &quot;￥&quot;* &quot;-&quot;_ ;_ @_ "/>
    <numFmt numFmtId="43" formatCode="_ * #,##0.00_ ;_ * \-#,##0.00_ ;_ * &quot;-&quot;??_ ;_ @_ "/>
    <numFmt numFmtId="44" formatCode="_ &quot;￥&quot;* #,##0.00_ ;_ &quot;￥&quot;* \-#,##0.00_ ;_ &quot;￥&quot;* &quot;-&quot;??_ ;_ @_ "/>
  </numFmts>
  <fonts count="23">
    <font>
      <sz val="11"/>
      <color theme="1"/>
      <name val="宋体"/>
      <charset val="134"/>
      <scheme val="minor"/>
    </font>
    <font>
      <b/>
      <sz val="11"/>
      <color rgb="FFFFFFFF"/>
      <name val="宋体"/>
      <charset val="134"/>
      <scheme val="minor"/>
    </font>
    <font>
      <sz val="11"/>
      <color theme="1"/>
      <name val="宋体"/>
      <charset val="134"/>
      <scheme val="minor"/>
    </font>
    <font>
      <b/>
      <sz val="11"/>
      <color theme="1"/>
      <name val="宋体"/>
      <charset val="134"/>
      <scheme val="minor"/>
    </font>
    <font>
      <u/>
      <sz val="11"/>
      <color rgb="FF0000FF"/>
      <name val="宋体"/>
      <charset val="0"/>
      <scheme val="minor"/>
    </font>
    <font>
      <u/>
      <sz val="11"/>
      <color rgb="FF800080"/>
      <name val="宋体"/>
      <charset val="0"/>
      <scheme val="minor"/>
    </font>
    <font>
      <sz val="11"/>
      <color rgb="FFFF0000"/>
      <name val="宋体"/>
      <charset val="0"/>
      <scheme val="minor"/>
    </font>
    <font>
      <b/>
      <sz val="18"/>
      <color theme="3"/>
      <name val="宋体"/>
      <charset val="134"/>
      <scheme val="minor"/>
    </font>
    <font>
      <i/>
      <sz val="11"/>
      <color rgb="FF7F7F7F"/>
      <name val="宋体"/>
      <charset val="0"/>
      <scheme val="minor"/>
    </font>
    <font>
      <b/>
      <sz val="15"/>
      <color theme="3"/>
      <name val="宋体"/>
      <charset val="134"/>
      <scheme val="minor"/>
    </font>
    <font>
      <b/>
      <sz val="13"/>
      <color theme="3"/>
      <name val="宋体"/>
      <charset val="134"/>
      <scheme val="minor"/>
    </font>
    <font>
      <b/>
      <sz val="11"/>
      <color theme="3"/>
      <name val="宋体"/>
      <charset val="134"/>
      <scheme val="minor"/>
    </font>
    <font>
      <sz val="11"/>
      <color rgb="FF3F3F76"/>
      <name val="宋体"/>
      <charset val="0"/>
      <scheme val="minor"/>
    </font>
    <font>
      <b/>
      <sz val="11"/>
      <color rgb="FF3F3F3F"/>
      <name val="宋体"/>
      <charset val="0"/>
      <scheme val="minor"/>
    </font>
    <font>
      <b/>
      <sz val="11"/>
      <color rgb="FFFA7D00"/>
      <name val="宋体"/>
      <charset val="0"/>
      <scheme val="minor"/>
    </font>
    <font>
      <b/>
      <sz val="11"/>
      <color rgb="FFFFFFFF"/>
      <name val="宋体"/>
      <charset val="0"/>
      <scheme val="minor"/>
    </font>
    <font>
      <sz val="11"/>
      <color rgb="FFFA7D00"/>
      <name val="宋体"/>
      <charset val="0"/>
      <scheme val="minor"/>
    </font>
    <font>
      <b/>
      <sz val="11"/>
      <color theme="1"/>
      <name val="宋体"/>
      <charset val="0"/>
      <scheme val="minor"/>
    </font>
    <font>
      <sz val="11"/>
      <color rgb="FF006100"/>
      <name val="宋体"/>
      <charset val="0"/>
      <scheme val="minor"/>
    </font>
    <font>
      <sz val="11"/>
      <color rgb="FF9C0006"/>
      <name val="宋体"/>
      <charset val="0"/>
      <scheme val="minor"/>
    </font>
    <font>
      <sz val="11"/>
      <color rgb="FF9C6500"/>
      <name val="宋体"/>
      <charset val="0"/>
      <scheme val="minor"/>
    </font>
    <font>
      <sz val="11"/>
      <color theme="0"/>
      <name val="宋体"/>
      <charset val="0"/>
      <scheme val="minor"/>
    </font>
    <font>
      <sz val="11"/>
      <color theme="1"/>
      <name val="宋体"/>
      <charset val="0"/>
      <scheme val="minor"/>
    </font>
  </fonts>
  <fills count="34">
    <fill>
      <patternFill patternType="none"/>
    </fill>
    <fill>
      <patternFill patternType="gray125"/>
    </fill>
    <fill>
      <patternFill patternType="solid">
        <fgColor rgb="FF4472C4"/>
        <bgColor indexed="64"/>
      </patternFill>
    </fill>
    <fill>
      <patternFill patternType="solid">
        <fgColor rgb="FFFFFFCC"/>
        <bgColor indexed="64"/>
      </patternFill>
    </fill>
    <fill>
      <patternFill patternType="solid">
        <fgColor rgb="FFFFCC99"/>
        <bgColor indexed="64"/>
      </patternFill>
    </fill>
    <fill>
      <patternFill patternType="solid">
        <fgColor rgb="FFF2F2F2"/>
        <bgColor indexed="64"/>
      </patternFill>
    </fill>
    <fill>
      <patternFill patternType="solid">
        <fgColor rgb="FFA5A5A5"/>
        <bgColor indexed="64"/>
      </patternFill>
    </fill>
    <fill>
      <patternFill patternType="solid">
        <fgColor rgb="FFC6EFCE"/>
        <bgColor indexed="64"/>
      </patternFill>
    </fill>
    <fill>
      <patternFill patternType="solid">
        <fgColor rgb="FFFFC7CE"/>
        <bgColor indexed="64"/>
      </patternFill>
    </fill>
    <fill>
      <patternFill patternType="solid">
        <fgColor rgb="FFFFEB9C"/>
        <bgColor indexed="64"/>
      </patternFill>
    </fill>
    <fill>
      <patternFill patternType="solid">
        <fgColor theme="4"/>
        <bgColor indexed="64"/>
      </patternFill>
    </fill>
    <fill>
      <patternFill patternType="solid">
        <fgColor theme="4" tint="0.799981688894314"/>
        <bgColor indexed="64"/>
      </patternFill>
    </fill>
    <fill>
      <patternFill patternType="solid">
        <fgColor theme="4" tint="0.599993896298105"/>
        <bgColor indexed="64"/>
      </patternFill>
    </fill>
    <fill>
      <patternFill patternType="solid">
        <fgColor theme="4" tint="0.399975585192419"/>
        <bgColor indexed="64"/>
      </patternFill>
    </fill>
    <fill>
      <patternFill patternType="solid">
        <fgColor theme="5"/>
        <bgColor indexed="64"/>
      </patternFill>
    </fill>
    <fill>
      <patternFill patternType="solid">
        <fgColor theme="5" tint="0.799981688894314"/>
        <bgColor indexed="64"/>
      </patternFill>
    </fill>
    <fill>
      <patternFill patternType="solid">
        <fgColor theme="5" tint="0.599993896298105"/>
        <bgColor indexed="64"/>
      </patternFill>
    </fill>
    <fill>
      <patternFill patternType="solid">
        <fgColor theme="5" tint="0.399975585192419"/>
        <bgColor indexed="64"/>
      </patternFill>
    </fill>
    <fill>
      <patternFill patternType="solid">
        <fgColor theme="6"/>
        <bgColor indexed="64"/>
      </patternFill>
    </fill>
    <fill>
      <patternFill patternType="solid">
        <fgColor theme="6" tint="0.799981688894314"/>
        <bgColor indexed="64"/>
      </patternFill>
    </fill>
    <fill>
      <patternFill patternType="solid">
        <fgColor theme="6" tint="0.599993896298105"/>
        <bgColor indexed="64"/>
      </patternFill>
    </fill>
    <fill>
      <patternFill patternType="solid">
        <fgColor theme="6" tint="0.399975585192419"/>
        <bgColor indexed="64"/>
      </patternFill>
    </fill>
    <fill>
      <patternFill patternType="solid">
        <fgColor theme="7"/>
        <bgColor indexed="64"/>
      </patternFill>
    </fill>
    <fill>
      <patternFill patternType="solid">
        <fgColor theme="7" tint="0.799981688894314"/>
        <bgColor indexed="64"/>
      </patternFill>
    </fill>
    <fill>
      <patternFill patternType="solid">
        <fgColor theme="7" tint="0.599993896298105"/>
        <bgColor indexed="64"/>
      </patternFill>
    </fill>
    <fill>
      <patternFill patternType="solid">
        <fgColor theme="7" tint="0.399975585192419"/>
        <bgColor indexed="64"/>
      </patternFill>
    </fill>
    <fill>
      <patternFill patternType="solid">
        <fgColor theme="8"/>
        <bgColor indexed="64"/>
      </patternFill>
    </fill>
    <fill>
      <patternFill patternType="solid">
        <fgColor theme="8" tint="0.799981688894314"/>
        <bgColor indexed="64"/>
      </patternFill>
    </fill>
    <fill>
      <patternFill patternType="solid">
        <fgColor theme="8" tint="0.599993896298105"/>
        <bgColor indexed="64"/>
      </patternFill>
    </fill>
    <fill>
      <patternFill patternType="solid">
        <fgColor theme="8" tint="0.399975585192419"/>
        <bgColor indexed="64"/>
      </patternFill>
    </fill>
    <fill>
      <patternFill patternType="solid">
        <fgColor theme="9"/>
        <bgColor indexed="64"/>
      </patternFill>
    </fill>
    <fill>
      <patternFill patternType="solid">
        <fgColor theme="9" tint="0.799981688894314"/>
        <bgColor indexed="64"/>
      </patternFill>
    </fill>
    <fill>
      <patternFill patternType="solid">
        <fgColor theme="9" tint="0.599993896298105"/>
        <bgColor indexed="64"/>
      </patternFill>
    </fill>
    <fill>
      <patternFill patternType="solid">
        <fgColor theme="9" tint="0.399975585192419"/>
        <bgColor indexed="64"/>
      </patternFill>
    </fill>
  </fills>
  <borders count="17">
    <border>
      <left/>
      <right/>
      <top/>
      <bottom/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/>
    </border>
    <border>
      <left style="thin">
        <color rgb="FF000000"/>
      </left>
      <right style="thin">
        <color rgb="FF000000"/>
      </right>
      <top/>
      <bottom style="thin">
        <color rgb="FF000000"/>
      </bottom>
      <diagonal/>
    </border>
    <border>
      <left style="thin">
        <color rgb="FF000000"/>
      </left>
      <right style="thin">
        <color rgb="FF000000"/>
      </right>
      <top/>
      <bottom/>
      <diagonal/>
    </border>
    <border>
      <left/>
      <right/>
      <top style="thin">
        <color rgb="FF000000"/>
      </top>
      <bottom style="thin">
        <color rgb="FF000000"/>
      </bottom>
      <diagonal/>
    </border>
    <border>
      <left/>
      <right style="thin">
        <color rgb="FF000000"/>
      </right>
      <top style="thin">
        <color rgb="FF000000"/>
      </top>
      <bottom style="thin">
        <color rgb="FF000000"/>
      </bottom>
      <diagonal/>
    </border>
    <border>
      <left style="thin">
        <color auto="1"/>
      </left>
      <right/>
      <top style="thin">
        <color auto="1"/>
      </top>
      <bottom style="thin">
        <color auto="1"/>
      </bottom>
      <diagonal/>
    </border>
    <border>
      <left/>
      <right/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/>
      <bottom style="medium">
        <color theme="4"/>
      </bottom>
      <diagonal/>
    </border>
    <border>
      <left/>
      <right/>
      <top/>
      <bottom style="medium">
        <color theme="4" tint="0.499984740745262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/>
      <right/>
      <top/>
      <bottom style="double">
        <color rgb="FFFF8001"/>
      </bottom>
      <diagonal/>
    </border>
    <border>
      <left/>
      <right/>
      <top style="thin">
        <color theme="4"/>
      </top>
      <bottom style="double">
        <color theme="4"/>
      </bottom>
      <diagonal/>
    </border>
  </borders>
  <cellStyleXfs count="49">
    <xf numFmtId="0" fontId="0" fillId="0" borderId="0"/>
    <xf numFmtId="43" fontId="0" fillId="0" borderId="0" applyFont="0" applyFill="0" applyBorder="0" applyAlignment="0" applyProtection="0">
      <alignment vertical="center"/>
    </xf>
    <xf numFmtId="44" fontId="0" fillId="0" borderId="0" applyFont="0" applyFill="0" applyBorder="0" applyAlignment="0" applyProtection="0">
      <alignment vertical="center"/>
    </xf>
    <xf numFmtId="9" fontId="0" fillId="0" borderId="0" applyFont="0" applyFill="0" applyBorder="0" applyAlignment="0" applyProtection="0">
      <alignment vertical="center"/>
    </xf>
    <xf numFmtId="41" fontId="0" fillId="0" borderId="0" applyFont="0" applyFill="0" applyBorder="0" applyAlignment="0" applyProtection="0">
      <alignment vertical="center"/>
    </xf>
    <xf numFmtId="42" fontId="0" fillId="0" borderId="0" applyFont="0" applyFill="0" applyBorder="0" applyAlignment="0" applyProtection="0">
      <alignment vertical="center"/>
    </xf>
    <xf numFmtId="0" fontId="4" fillId="0" borderId="0" applyNumberFormat="0" applyFill="0" applyBorder="0" applyAlignment="0" applyProtection="0">
      <alignment vertical="center"/>
    </xf>
    <xf numFmtId="0" fontId="5" fillId="0" borderId="0" applyNumberFormat="0" applyFill="0" applyBorder="0" applyAlignment="0" applyProtection="0">
      <alignment vertical="center"/>
    </xf>
    <xf numFmtId="0" fontId="0" fillId="3" borderId="9" applyNumberFormat="0" applyFont="0" applyAlignment="0" applyProtection="0">
      <alignment vertical="center"/>
    </xf>
    <xf numFmtId="0" fontId="6" fillId="0" borderId="0" applyNumberFormat="0" applyFill="0" applyBorder="0" applyAlignment="0" applyProtection="0">
      <alignment vertical="center"/>
    </xf>
    <xf numFmtId="0" fontId="7" fillId="0" borderId="0" applyNumberFormat="0" applyFill="0" applyBorder="0" applyAlignment="0" applyProtection="0">
      <alignment vertical="center"/>
    </xf>
    <xf numFmtId="0" fontId="8" fillId="0" borderId="0" applyNumberFormat="0" applyFill="0" applyBorder="0" applyAlignment="0" applyProtection="0">
      <alignment vertical="center"/>
    </xf>
    <xf numFmtId="0" fontId="9" fillId="0" borderId="10" applyNumberFormat="0" applyFill="0" applyAlignment="0" applyProtection="0">
      <alignment vertical="center"/>
    </xf>
    <xf numFmtId="0" fontId="10" fillId="0" borderId="10" applyNumberFormat="0" applyFill="0" applyAlignment="0" applyProtection="0">
      <alignment vertical="center"/>
    </xf>
    <xf numFmtId="0" fontId="11" fillId="0" borderId="11" applyNumberFormat="0" applyFill="0" applyAlignment="0" applyProtection="0">
      <alignment vertical="center"/>
    </xf>
    <xf numFmtId="0" fontId="11" fillId="0" borderId="0" applyNumberFormat="0" applyFill="0" applyBorder="0" applyAlignment="0" applyProtection="0">
      <alignment vertical="center"/>
    </xf>
    <xf numFmtId="0" fontId="12" fillId="4" borderId="12" applyNumberFormat="0" applyAlignment="0" applyProtection="0">
      <alignment vertical="center"/>
    </xf>
    <xf numFmtId="0" fontId="13" fillId="5" borderId="13" applyNumberFormat="0" applyAlignment="0" applyProtection="0">
      <alignment vertical="center"/>
    </xf>
    <xf numFmtId="0" fontId="14" fillId="5" borderId="12" applyNumberFormat="0" applyAlignment="0" applyProtection="0">
      <alignment vertical="center"/>
    </xf>
    <xf numFmtId="0" fontId="15" fillId="6" borderId="14" applyNumberFormat="0" applyAlignment="0" applyProtection="0">
      <alignment vertical="center"/>
    </xf>
    <xf numFmtId="0" fontId="16" fillId="0" borderId="15" applyNumberFormat="0" applyFill="0" applyAlignment="0" applyProtection="0">
      <alignment vertical="center"/>
    </xf>
    <xf numFmtId="0" fontId="17" fillId="0" borderId="16" applyNumberFormat="0" applyFill="0" applyAlignment="0" applyProtection="0">
      <alignment vertical="center"/>
    </xf>
    <xf numFmtId="0" fontId="18" fillId="7" borderId="0" applyNumberFormat="0" applyBorder="0" applyAlignment="0" applyProtection="0">
      <alignment vertical="center"/>
    </xf>
    <xf numFmtId="0" fontId="19" fillId="8" borderId="0" applyNumberFormat="0" applyBorder="0" applyAlignment="0" applyProtection="0">
      <alignment vertical="center"/>
    </xf>
    <xf numFmtId="0" fontId="20" fillId="9" borderId="0" applyNumberFormat="0" applyBorder="0" applyAlignment="0" applyProtection="0">
      <alignment vertical="center"/>
    </xf>
    <xf numFmtId="0" fontId="21" fillId="10" borderId="0" applyNumberFormat="0" applyBorder="0" applyAlignment="0" applyProtection="0">
      <alignment vertical="center"/>
    </xf>
    <xf numFmtId="0" fontId="22" fillId="11" borderId="0" applyNumberFormat="0" applyBorder="0" applyAlignment="0" applyProtection="0">
      <alignment vertical="center"/>
    </xf>
    <xf numFmtId="0" fontId="22" fillId="12" borderId="0" applyNumberFormat="0" applyBorder="0" applyAlignment="0" applyProtection="0">
      <alignment vertical="center"/>
    </xf>
    <xf numFmtId="0" fontId="21" fillId="13" borderId="0" applyNumberFormat="0" applyBorder="0" applyAlignment="0" applyProtection="0">
      <alignment vertical="center"/>
    </xf>
    <xf numFmtId="0" fontId="21" fillId="14" borderId="0" applyNumberFormat="0" applyBorder="0" applyAlignment="0" applyProtection="0">
      <alignment vertical="center"/>
    </xf>
    <xf numFmtId="0" fontId="22" fillId="15" borderId="0" applyNumberFormat="0" applyBorder="0" applyAlignment="0" applyProtection="0">
      <alignment vertical="center"/>
    </xf>
    <xf numFmtId="0" fontId="22" fillId="16" borderId="0" applyNumberFormat="0" applyBorder="0" applyAlignment="0" applyProtection="0">
      <alignment vertical="center"/>
    </xf>
    <xf numFmtId="0" fontId="21" fillId="17" borderId="0" applyNumberFormat="0" applyBorder="0" applyAlignment="0" applyProtection="0">
      <alignment vertical="center"/>
    </xf>
    <xf numFmtId="0" fontId="21" fillId="18" borderId="0" applyNumberFormat="0" applyBorder="0" applyAlignment="0" applyProtection="0">
      <alignment vertical="center"/>
    </xf>
    <xf numFmtId="0" fontId="22" fillId="19" borderId="0" applyNumberFormat="0" applyBorder="0" applyAlignment="0" applyProtection="0">
      <alignment vertical="center"/>
    </xf>
    <xf numFmtId="0" fontId="22" fillId="20" borderId="0" applyNumberFormat="0" applyBorder="0" applyAlignment="0" applyProtection="0">
      <alignment vertical="center"/>
    </xf>
    <xf numFmtId="0" fontId="21" fillId="21" borderId="0" applyNumberFormat="0" applyBorder="0" applyAlignment="0" applyProtection="0">
      <alignment vertical="center"/>
    </xf>
    <xf numFmtId="0" fontId="21" fillId="22" borderId="0" applyNumberFormat="0" applyBorder="0" applyAlignment="0" applyProtection="0">
      <alignment vertical="center"/>
    </xf>
    <xf numFmtId="0" fontId="22" fillId="23" borderId="0" applyNumberFormat="0" applyBorder="0" applyAlignment="0" applyProtection="0">
      <alignment vertical="center"/>
    </xf>
    <xf numFmtId="0" fontId="22" fillId="24" borderId="0" applyNumberFormat="0" applyBorder="0" applyAlignment="0" applyProtection="0">
      <alignment vertical="center"/>
    </xf>
    <xf numFmtId="0" fontId="21" fillId="25" borderId="0" applyNumberFormat="0" applyBorder="0" applyAlignment="0" applyProtection="0">
      <alignment vertical="center"/>
    </xf>
    <xf numFmtId="0" fontId="21" fillId="26" borderId="0" applyNumberFormat="0" applyBorder="0" applyAlignment="0" applyProtection="0">
      <alignment vertical="center"/>
    </xf>
    <xf numFmtId="0" fontId="22" fillId="27" borderId="0" applyNumberFormat="0" applyBorder="0" applyAlignment="0" applyProtection="0">
      <alignment vertical="center"/>
    </xf>
    <xf numFmtId="0" fontId="22" fillId="28" borderId="0" applyNumberFormat="0" applyBorder="0" applyAlignment="0" applyProtection="0">
      <alignment vertical="center"/>
    </xf>
    <xf numFmtId="0" fontId="21" fillId="29" borderId="0" applyNumberFormat="0" applyBorder="0" applyAlignment="0" applyProtection="0">
      <alignment vertical="center"/>
    </xf>
    <xf numFmtId="0" fontId="21" fillId="30" borderId="0" applyNumberFormat="0" applyBorder="0" applyAlignment="0" applyProtection="0">
      <alignment vertical="center"/>
    </xf>
    <xf numFmtId="0" fontId="22" fillId="31" borderId="0" applyNumberFormat="0" applyBorder="0" applyAlignment="0" applyProtection="0">
      <alignment vertical="center"/>
    </xf>
    <xf numFmtId="0" fontId="22" fillId="32" borderId="0" applyNumberFormat="0" applyBorder="0" applyAlignment="0" applyProtection="0">
      <alignment vertical="center"/>
    </xf>
    <xf numFmtId="0" fontId="21" fillId="33" borderId="0" applyNumberFormat="0" applyBorder="0" applyAlignment="0" applyProtection="0">
      <alignment vertical="center"/>
    </xf>
  </cellStyleXfs>
  <cellXfs count="19">
    <xf numFmtId="0" fontId="0" fillId="0" borderId="0" xfId="0"/>
    <xf numFmtId="0" fontId="1" fillId="2" borderId="1" xfId="0" applyFont="1" applyFill="1" applyBorder="1" applyAlignment="1">
      <alignment horizontal="center" vertical="center" wrapText="1"/>
    </xf>
    <xf numFmtId="0" fontId="0" fillId="0" borderId="1" xfId="0" applyBorder="1" applyAlignment="1">
      <alignment horizontal="center" vertical="top" wrapText="1"/>
    </xf>
    <xf numFmtId="0" fontId="0" fillId="0" borderId="1" xfId="0" applyBorder="1" applyAlignment="1">
      <alignment horizontal="left" vertical="top" wrapText="1"/>
    </xf>
    <xf numFmtId="0" fontId="0" fillId="0" borderId="1" xfId="0" applyBorder="1" applyAlignment="1">
      <alignment horizontal="left" vertical="top"/>
    </xf>
    <xf numFmtId="0" fontId="0" fillId="0" borderId="1" xfId="0" applyBorder="1" applyAlignment="1">
      <alignment horizontal="right" vertical="top"/>
    </xf>
    <xf numFmtId="0" fontId="0" fillId="0" borderId="2" xfId="0" applyBorder="1"/>
    <xf numFmtId="0" fontId="0" fillId="0" borderId="3" xfId="0" applyBorder="1"/>
    <xf numFmtId="0" fontId="2" fillId="0" borderId="1" xfId="0" applyFont="1" applyFill="1" applyBorder="1" applyAlignment="1">
      <alignment horizontal="left" vertical="top" wrapText="1"/>
    </xf>
    <xf numFmtId="0" fontId="0" fillId="0" borderId="4" xfId="0" applyBorder="1"/>
    <xf numFmtId="0" fontId="0" fillId="0" borderId="5" xfId="0" applyBorder="1"/>
    <xf numFmtId="0" fontId="3" fillId="0" borderId="0" xfId="0" applyFont="1" applyAlignment="1">
      <alignment horizontal="left" vertical="top"/>
    </xf>
    <xf numFmtId="0" fontId="3" fillId="0" borderId="0" xfId="0" applyFont="1" applyAlignment="1">
      <alignment horizontal="right" vertical="top"/>
    </xf>
    <xf numFmtId="0" fontId="3" fillId="0" borderId="6" xfId="0" applyFont="1" applyBorder="1"/>
    <xf numFmtId="0" fontId="3" fillId="0" borderId="7" xfId="0" applyFont="1" applyBorder="1"/>
    <xf numFmtId="0" fontId="3" fillId="0" borderId="8" xfId="0" applyFont="1" applyBorder="1"/>
    <xf numFmtId="0" fontId="0" fillId="0" borderId="6" xfId="0" applyBorder="1"/>
    <xf numFmtId="0" fontId="0" fillId="0" borderId="7" xfId="0" applyBorder="1"/>
    <xf numFmtId="0" fontId="0" fillId="0" borderId="8" xfId="0" applyBorder="1"/>
  </cellXfs>
  <cellStyles count="49">
    <cellStyle name="常规" xfId="0" builtinId="0"/>
    <cellStyle name="千位分隔" xfId="1" builtinId="3"/>
    <cellStyle name="货币" xfId="2" builtinId="4"/>
    <cellStyle name="百分比" xfId="3" builtinId="5"/>
    <cellStyle name="千位分隔[0]" xfId="4" builtinId="6"/>
    <cellStyle name="货币[0]" xfId="5" builtinId="7"/>
    <cellStyle name="超链接" xfId="6" builtinId="8"/>
    <cellStyle name="已访问的超链接" xfId="7" builtinId="9"/>
    <cellStyle name="注释" xfId="8" builtinId="10"/>
    <cellStyle name="警告文本" xfId="9" builtinId="11"/>
    <cellStyle name="标题" xfId="10" builtinId="15"/>
    <cellStyle name="解释性文本" xfId="11" builtinId="53"/>
    <cellStyle name="标题 1" xfId="12" builtinId="16"/>
    <cellStyle name="标题 2" xfId="13" builtinId="17"/>
    <cellStyle name="标题 3" xfId="14" builtinId="18"/>
    <cellStyle name="标题 4" xfId="15" builtinId="19"/>
    <cellStyle name="输入" xfId="16" builtinId="20"/>
    <cellStyle name="输出" xfId="17" builtinId="21"/>
    <cellStyle name="计算" xfId="18" builtinId="22"/>
    <cellStyle name="检查单元格" xfId="19" builtinId="23"/>
    <cellStyle name="链接单元格" xfId="20" builtinId="24"/>
    <cellStyle name="汇总" xfId="21" builtinId="25"/>
    <cellStyle name="好" xfId="22" builtinId="26"/>
    <cellStyle name="差" xfId="23" builtinId="27"/>
    <cellStyle name="适中" xfId="24" builtinId="28"/>
    <cellStyle name="强调文字颜色 1" xfId="25" builtinId="29"/>
    <cellStyle name="20% - 强调文字颜色 1" xfId="26" builtinId="30"/>
    <cellStyle name="40% - 强调文字颜色 1" xfId="27" builtinId="31"/>
    <cellStyle name="60% - 强调文字颜色 1" xfId="28" builtinId="32"/>
    <cellStyle name="强调文字颜色 2" xfId="29" builtinId="33"/>
    <cellStyle name="20% - 强调文字颜色 2" xfId="30" builtinId="34"/>
    <cellStyle name="40% - 强调文字颜色 2" xfId="31" builtinId="35"/>
    <cellStyle name="60% - 强调文字颜色 2" xfId="32" builtinId="36"/>
    <cellStyle name="强调文字颜色 3" xfId="33" builtinId="37"/>
    <cellStyle name="20% - 强调文字颜色 3" xfId="34" builtinId="38"/>
    <cellStyle name="40% - 强调文字颜色 3" xfId="35" builtinId="39"/>
    <cellStyle name="60% - 强调文字颜色 3" xfId="36" builtinId="40"/>
    <cellStyle name="强调文字颜色 4" xfId="37" builtinId="41"/>
    <cellStyle name="20% - 强调文字颜色 4" xfId="38" builtinId="42"/>
    <cellStyle name="40% - 强调文字颜色 4" xfId="39" builtinId="43"/>
    <cellStyle name="60% - 强调文字颜色 4" xfId="40" builtinId="44"/>
    <cellStyle name="强调文字颜色 5" xfId="41" builtinId="45"/>
    <cellStyle name="20% - 强调文字颜色 5" xfId="42" builtinId="46"/>
    <cellStyle name="40% - 强调文字颜色 5" xfId="43" builtinId="47"/>
    <cellStyle name="60% - 强调文字颜色 5" xfId="44" builtinId="48"/>
    <cellStyle name="强调文字颜色 6" xfId="45" builtinId="49"/>
    <cellStyle name="20% - 强调文字颜色 6" xfId="46" builtinId="50"/>
    <cellStyle name="40% - 强调文字颜色 6" xfId="47" builtinId="51"/>
    <cellStyle name="60% - 强调文字颜色 6" xfId="48" builtinId="52"/>
  </cellStyles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</extLst>
</styleSheet>
</file>

<file path=xl/_rels/workbook.xml.rels><?xml version="1.0" encoding="UTF-8" standalone="yes"?>
<Relationships xmlns="http://schemas.openxmlformats.org/package/2006/relationships"><Relationship Id="rId4" Type="http://schemas.openxmlformats.org/officeDocument/2006/relationships/styles" Target="styles.xml"/><Relationship Id="rId3" Type="http://schemas.openxmlformats.org/officeDocument/2006/relationships/sharedStrings" Target="sharedString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</a:theme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H38"/>
  <sheetViews>
    <sheetView tabSelected="1" workbookViewId="0">
      <pane ySplit="1" topLeftCell="A2" activePane="bottomLeft" state="frozen"/>
      <selection/>
      <selection pane="bottomLeft" activeCell="A1" sqref="A1"/>
    </sheetView>
  </sheetViews>
  <sheetFormatPr defaultColWidth="9" defaultRowHeight="13.5" outlineLevelCol="7"/>
  <cols>
    <col min="1" max="1" width="5.70833333333333" customWidth="1"/>
    <col min="2" max="2" width="15.7083333333333" customWidth="1"/>
    <col min="3" max="3" width="30.7083333333333" customWidth="1"/>
    <col min="4" max="4" width="12.375" customWidth="1"/>
    <col min="5" max="5" width="40.7083333333333" customWidth="1"/>
    <col min="6" max="6" width="10.7083333333333" customWidth="1"/>
    <col min="7" max="7" width="12.7083333333333" customWidth="1"/>
    <col min="8" max="8" width="30.7083333333333" customWidth="1"/>
  </cols>
  <sheetData>
    <row r="1" spans="1:8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</row>
    <row r="2" spans="1:8">
      <c r="A2" s="2">
        <v>1</v>
      </c>
      <c r="B2" s="2" t="s">
        <v>8</v>
      </c>
      <c r="C2" s="3" t="s">
        <v>9</v>
      </c>
      <c r="D2" s="2" t="s">
        <v>10</v>
      </c>
      <c r="E2" s="3" t="s">
        <v>11</v>
      </c>
      <c r="F2" s="4" t="s">
        <v>12</v>
      </c>
      <c r="G2" s="5">
        <v>7</v>
      </c>
      <c r="H2" s="3" t="s">
        <v>13</v>
      </c>
    </row>
    <row r="3" spans="1:8">
      <c r="A3" s="6"/>
      <c r="B3" s="7"/>
      <c r="C3" s="6"/>
      <c r="D3" s="7"/>
      <c r="E3" s="6"/>
      <c r="F3" s="4" t="s">
        <v>14</v>
      </c>
      <c r="G3" s="5">
        <v>3</v>
      </c>
      <c r="H3" s="3" t="s">
        <v>15</v>
      </c>
    </row>
    <row r="4" spans="1:8">
      <c r="A4" s="2">
        <v>2</v>
      </c>
      <c r="B4" s="7"/>
      <c r="C4" s="3" t="s">
        <v>16</v>
      </c>
      <c r="D4" s="7"/>
      <c r="E4" s="3" t="s">
        <v>17</v>
      </c>
      <c r="F4" s="4" t="s">
        <v>12</v>
      </c>
      <c r="G4" s="5">
        <v>3</v>
      </c>
      <c r="H4" s="3" t="s">
        <v>18</v>
      </c>
    </row>
    <row r="5" ht="27" spans="1:8">
      <c r="A5" s="2">
        <v>3</v>
      </c>
      <c r="B5" s="7"/>
      <c r="C5" s="3" t="s">
        <v>19</v>
      </c>
      <c r="D5" s="7"/>
      <c r="E5" s="3" t="s">
        <v>20</v>
      </c>
      <c r="F5" s="4" t="s">
        <v>14</v>
      </c>
      <c r="G5" s="5">
        <v>3</v>
      </c>
      <c r="H5" s="3" t="s">
        <v>21</v>
      </c>
    </row>
    <row r="6" ht="27" spans="1:8">
      <c r="A6" s="2">
        <v>4</v>
      </c>
      <c r="B6" s="7"/>
      <c r="C6" s="3" t="s">
        <v>22</v>
      </c>
      <c r="D6" s="7"/>
      <c r="E6" s="3" t="s">
        <v>23</v>
      </c>
      <c r="F6" s="4" t="s">
        <v>12</v>
      </c>
      <c r="G6" s="5">
        <v>3</v>
      </c>
      <c r="H6" s="3" t="s">
        <v>24</v>
      </c>
    </row>
    <row r="7" spans="1:8">
      <c r="A7" s="6"/>
      <c r="B7" s="7"/>
      <c r="C7" s="6"/>
      <c r="D7" s="7"/>
      <c r="E7" s="6"/>
      <c r="F7" s="4" t="s">
        <v>14</v>
      </c>
      <c r="G7" s="5">
        <v>2</v>
      </c>
      <c r="H7" s="3" t="s">
        <v>25</v>
      </c>
    </row>
    <row r="8" ht="27" spans="1:8">
      <c r="A8" s="2">
        <v>5</v>
      </c>
      <c r="B8" s="7"/>
      <c r="C8" s="3" t="s">
        <v>26</v>
      </c>
      <c r="D8" s="7"/>
      <c r="E8" s="3" t="s">
        <v>27</v>
      </c>
      <c r="F8" s="4" t="s">
        <v>12</v>
      </c>
      <c r="G8" s="5">
        <v>3</v>
      </c>
      <c r="H8" s="3" t="s">
        <v>28</v>
      </c>
    </row>
    <row r="9" ht="27" spans="1:8">
      <c r="A9" s="6"/>
      <c r="B9" s="7"/>
      <c r="C9" s="6"/>
      <c r="D9" s="7"/>
      <c r="E9" s="6"/>
      <c r="F9" s="4" t="s">
        <v>14</v>
      </c>
      <c r="G9" s="5">
        <v>2</v>
      </c>
      <c r="H9" s="3" t="s">
        <v>29</v>
      </c>
    </row>
    <row r="10" ht="40.5" spans="1:8">
      <c r="A10" s="2">
        <v>6</v>
      </c>
      <c r="B10" s="7"/>
      <c r="C10" s="3" t="s">
        <v>30</v>
      </c>
      <c r="D10" s="7"/>
      <c r="E10" s="3" t="s">
        <v>31</v>
      </c>
      <c r="F10" s="4" t="s">
        <v>14</v>
      </c>
      <c r="G10" s="5">
        <v>10</v>
      </c>
      <c r="H10" s="3" t="s">
        <v>32</v>
      </c>
    </row>
    <row r="11" ht="27" spans="1:8">
      <c r="A11" s="2">
        <v>7</v>
      </c>
      <c r="B11" s="7"/>
      <c r="C11" s="3" t="s">
        <v>33</v>
      </c>
      <c r="D11" s="7"/>
      <c r="E11" s="3" t="s">
        <v>34</v>
      </c>
      <c r="F11" s="4" t="s">
        <v>12</v>
      </c>
      <c r="G11" s="5">
        <v>6</v>
      </c>
      <c r="H11" s="3" t="s">
        <v>35</v>
      </c>
    </row>
    <row r="12" ht="27" spans="1:8">
      <c r="A12" s="6"/>
      <c r="B12" s="7"/>
      <c r="C12" s="6"/>
      <c r="D12" s="7"/>
      <c r="E12" s="6"/>
      <c r="F12" s="4" t="s">
        <v>14</v>
      </c>
      <c r="G12" s="5">
        <v>2</v>
      </c>
      <c r="H12" s="3" t="s">
        <v>36</v>
      </c>
    </row>
    <row r="13" spans="1:8">
      <c r="A13" s="2">
        <v>8</v>
      </c>
      <c r="B13" s="7"/>
      <c r="C13" s="3" t="s">
        <v>37</v>
      </c>
      <c r="D13" s="7"/>
      <c r="E13" s="3" t="s">
        <v>38</v>
      </c>
      <c r="F13" s="4" t="s">
        <v>12</v>
      </c>
      <c r="G13" s="5">
        <v>5</v>
      </c>
      <c r="H13" s="3" t="s">
        <v>39</v>
      </c>
    </row>
    <row r="14" spans="1:8">
      <c r="A14" s="6"/>
      <c r="B14" s="7"/>
      <c r="C14" s="6"/>
      <c r="D14" s="7"/>
      <c r="E14" s="6"/>
      <c r="F14" s="4" t="s">
        <v>14</v>
      </c>
      <c r="G14" s="5">
        <v>3</v>
      </c>
      <c r="H14" s="3" t="s">
        <v>40</v>
      </c>
    </row>
    <row r="15" ht="27" spans="1:8">
      <c r="A15" s="2">
        <v>9</v>
      </c>
      <c r="B15" s="7"/>
      <c r="C15" s="3" t="s">
        <v>41</v>
      </c>
      <c r="D15" s="7"/>
      <c r="E15" s="3" t="s">
        <v>42</v>
      </c>
      <c r="F15" s="4" t="s">
        <v>14</v>
      </c>
      <c r="G15" s="5">
        <v>2</v>
      </c>
      <c r="H15" s="3" t="s">
        <v>43</v>
      </c>
    </row>
    <row r="16" ht="27" spans="1:8">
      <c r="A16" s="2">
        <v>10</v>
      </c>
      <c r="B16" s="7"/>
      <c r="C16" s="3" t="s">
        <v>44</v>
      </c>
      <c r="D16" s="6"/>
      <c r="E16" s="3" t="s">
        <v>45</v>
      </c>
      <c r="F16" s="4" t="s">
        <v>12</v>
      </c>
      <c r="G16" s="5">
        <v>2</v>
      </c>
      <c r="H16" s="3" t="s">
        <v>46</v>
      </c>
    </row>
    <row r="17" spans="1:8">
      <c r="A17" s="2">
        <v>11</v>
      </c>
      <c r="B17" s="7"/>
      <c r="C17" s="3" t="s">
        <v>47</v>
      </c>
      <c r="D17" s="2" t="s">
        <v>48</v>
      </c>
      <c r="E17" s="3" t="s">
        <v>49</v>
      </c>
      <c r="F17" s="4" t="s">
        <v>50</v>
      </c>
      <c r="G17" s="5">
        <v>3</v>
      </c>
      <c r="H17" s="3" t="s">
        <v>51</v>
      </c>
    </row>
    <row r="18" ht="27" spans="1:8">
      <c r="A18" s="2">
        <v>12</v>
      </c>
      <c r="B18" s="7"/>
      <c r="C18" s="3" t="s">
        <v>52</v>
      </c>
      <c r="D18" s="7"/>
      <c r="E18" s="3" t="s">
        <v>53</v>
      </c>
      <c r="F18" s="4" t="s">
        <v>50</v>
      </c>
      <c r="G18" s="5">
        <v>7</v>
      </c>
      <c r="H18" s="3" t="s">
        <v>54</v>
      </c>
    </row>
    <row r="19" ht="27" spans="1:8">
      <c r="A19" s="2">
        <v>13</v>
      </c>
      <c r="B19" s="7"/>
      <c r="C19" s="3" t="s">
        <v>55</v>
      </c>
      <c r="D19" s="7"/>
      <c r="E19" s="3" t="s">
        <v>56</v>
      </c>
      <c r="F19" s="4" t="s">
        <v>12</v>
      </c>
      <c r="G19" s="5">
        <v>13</v>
      </c>
      <c r="H19" s="3" t="s">
        <v>57</v>
      </c>
    </row>
    <row r="20" ht="27" spans="1:8">
      <c r="A20" s="6"/>
      <c r="B20" s="7"/>
      <c r="C20" s="6"/>
      <c r="D20" s="7"/>
      <c r="E20" s="6"/>
      <c r="F20" s="4" t="s">
        <v>14</v>
      </c>
      <c r="G20" s="5">
        <v>19</v>
      </c>
      <c r="H20" s="3" t="s">
        <v>58</v>
      </c>
    </row>
    <row r="21" ht="54" spans="1:8">
      <c r="A21" s="2">
        <v>14</v>
      </c>
      <c r="B21" s="7"/>
      <c r="C21" s="3" t="s">
        <v>59</v>
      </c>
      <c r="D21" s="7"/>
      <c r="E21" s="3" t="s">
        <v>60</v>
      </c>
      <c r="F21" s="4" t="s">
        <v>12</v>
      </c>
      <c r="G21" s="5">
        <v>32</v>
      </c>
      <c r="H21" s="8" t="s">
        <v>61</v>
      </c>
    </row>
    <row r="22" ht="67.5" spans="1:8">
      <c r="A22" s="6"/>
      <c r="B22" s="7"/>
      <c r="C22" s="6"/>
      <c r="D22" s="7"/>
      <c r="E22" s="6"/>
      <c r="F22" s="4" t="s">
        <v>14</v>
      </c>
      <c r="G22" s="5">
        <v>40</v>
      </c>
      <c r="H22" s="8" t="s">
        <v>62</v>
      </c>
    </row>
    <row r="23" ht="121.5" spans="1:8">
      <c r="A23" s="2">
        <v>15</v>
      </c>
      <c r="B23" s="7"/>
      <c r="C23" s="3" t="s">
        <v>63</v>
      </c>
      <c r="D23" s="7"/>
      <c r="E23" s="3" t="s">
        <v>64</v>
      </c>
      <c r="F23" s="4" t="s">
        <v>65</v>
      </c>
      <c r="G23" s="5">
        <v>60</v>
      </c>
      <c r="H23" s="3" t="s">
        <v>66</v>
      </c>
    </row>
    <row r="24" ht="81" spans="1:8">
      <c r="A24" s="7"/>
      <c r="B24" s="7"/>
      <c r="C24" s="7"/>
      <c r="D24" s="7"/>
      <c r="E24" s="3" t="s">
        <v>67</v>
      </c>
      <c r="F24" s="4" t="s">
        <v>65</v>
      </c>
      <c r="G24" s="5">
        <v>46</v>
      </c>
      <c r="H24" s="3" t="s">
        <v>68</v>
      </c>
    </row>
    <row r="25" ht="94.5" spans="1:8">
      <c r="A25" s="6"/>
      <c r="B25" s="7"/>
      <c r="C25" s="6"/>
      <c r="D25" s="7"/>
      <c r="E25" s="3" t="s">
        <v>69</v>
      </c>
      <c r="F25" s="4" t="s">
        <v>65</v>
      </c>
      <c r="G25" s="5">
        <v>51</v>
      </c>
      <c r="H25" s="3" t="s">
        <v>70</v>
      </c>
    </row>
    <row r="26" ht="27" spans="1:8">
      <c r="A26" s="2">
        <v>16</v>
      </c>
      <c r="B26" s="7"/>
      <c r="C26" s="3" t="s">
        <v>71</v>
      </c>
      <c r="D26" s="7"/>
      <c r="E26" s="3" t="s">
        <v>72</v>
      </c>
      <c r="F26" s="4" t="s">
        <v>12</v>
      </c>
      <c r="G26" s="5">
        <v>16</v>
      </c>
      <c r="H26" s="3" t="s">
        <v>73</v>
      </c>
    </row>
    <row r="27" ht="40.5" spans="1:8">
      <c r="A27" s="6"/>
      <c r="B27" s="7"/>
      <c r="C27" s="6"/>
      <c r="D27" s="7"/>
      <c r="E27" s="6"/>
      <c r="F27" s="4" t="s">
        <v>14</v>
      </c>
      <c r="G27" s="5">
        <v>73</v>
      </c>
      <c r="H27" s="3" t="s">
        <v>74</v>
      </c>
    </row>
    <row r="28" ht="27" spans="1:8">
      <c r="A28" s="2">
        <v>17</v>
      </c>
      <c r="B28" s="6"/>
      <c r="C28" s="3" t="s">
        <v>75</v>
      </c>
      <c r="D28" s="6"/>
      <c r="E28" s="3" t="s">
        <v>76</v>
      </c>
      <c r="F28" s="4" t="s">
        <v>12</v>
      </c>
      <c r="G28" s="5">
        <v>7</v>
      </c>
      <c r="H28" s="3" t="s">
        <v>77</v>
      </c>
    </row>
    <row r="29" spans="1:8">
      <c r="A29" s="2">
        <v>18</v>
      </c>
      <c r="B29" s="3" t="s">
        <v>78</v>
      </c>
      <c r="C29" s="2" t="s">
        <v>79</v>
      </c>
      <c r="D29" s="9"/>
      <c r="E29" s="10"/>
      <c r="F29" s="4" t="s">
        <v>79</v>
      </c>
      <c r="G29" s="5">
        <v>55</v>
      </c>
      <c r="H29" s="3"/>
    </row>
    <row r="30" spans="1:8">
      <c r="A30" s="2">
        <v>19</v>
      </c>
      <c r="B30" s="3" t="s">
        <v>80</v>
      </c>
      <c r="C30" s="2" t="s">
        <v>79</v>
      </c>
      <c r="D30" s="9"/>
      <c r="E30" s="10"/>
      <c r="F30" s="4" t="s">
        <v>79</v>
      </c>
      <c r="G30" s="5">
        <v>25</v>
      </c>
      <c r="H30" s="3"/>
    </row>
    <row r="31" spans="1:8">
      <c r="A31" s="2">
        <v>20</v>
      </c>
      <c r="B31" s="3" t="s">
        <v>81</v>
      </c>
      <c r="C31" s="2" t="s">
        <v>79</v>
      </c>
      <c r="D31" s="9"/>
      <c r="E31" s="10"/>
      <c r="F31" s="4" t="s">
        <v>79</v>
      </c>
      <c r="G31" s="5">
        <v>8</v>
      </c>
      <c r="H31" s="3"/>
    </row>
    <row r="32" spans="1:8">
      <c r="A32" s="2">
        <v>21</v>
      </c>
      <c r="B32" s="3" t="s">
        <v>82</v>
      </c>
      <c r="C32" s="2" t="s">
        <v>79</v>
      </c>
      <c r="D32" s="9"/>
      <c r="E32" s="10"/>
      <c r="F32" s="4" t="s">
        <v>79</v>
      </c>
      <c r="G32" s="5">
        <v>12</v>
      </c>
      <c r="H32" s="3"/>
    </row>
    <row r="33" spans="1:8">
      <c r="A33" s="11"/>
      <c r="B33" s="11"/>
      <c r="C33" s="11"/>
      <c r="D33" s="11"/>
      <c r="E33" s="11"/>
      <c r="F33" s="11" t="s">
        <v>83</v>
      </c>
      <c r="G33" s="12">
        <f>SUM(G2:G32)</f>
        <v>523</v>
      </c>
      <c r="H33" s="11"/>
    </row>
    <row r="35" spans="1:8">
      <c r="A35" s="13" t="s">
        <v>84</v>
      </c>
      <c r="B35" s="14"/>
      <c r="C35" s="14"/>
      <c r="D35" s="15" t="s">
        <v>85</v>
      </c>
    </row>
    <row r="36" spans="1:8">
      <c r="A36" s="16" t="s">
        <v>86</v>
      </c>
      <c r="B36" s="17"/>
      <c r="C36" s="17"/>
      <c r="D36" s="18" t="s">
        <v>87</v>
      </c>
    </row>
    <row r="37" spans="1:8">
      <c r="A37" s="16" t="s">
        <v>88</v>
      </c>
      <c r="B37" s="17"/>
      <c r="C37" s="17"/>
      <c r="D37" s="18" t="s">
        <v>89</v>
      </c>
    </row>
    <row r="38" spans="1:8">
      <c r="A38" s="16" t="s">
        <v>90</v>
      </c>
      <c r="B38" s="17"/>
      <c r="C38" s="17"/>
      <c r="D38" s="18" t="s">
        <v>91</v>
      </c>
    </row>
  </sheetData>
  <mergeCells count="33">
    <mergeCell ref="C29:E29"/>
    <mergeCell ref="C30:E30"/>
    <mergeCell ref="C31:E31"/>
    <mergeCell ref="C32:E32"/>
    <mergeCell ref="A2:A3"/>
    <mergeCell ref="A6:A7"/>
    <mergeCell ref="A8:A9"/>
    <mergeCell ref="A11:A12"/>
    <mergeCell ref="A13:A14"/>
    <mergeCell ref="A19:A20"/>
    <mergeCell ref="A21:A22"/>
    <mergeCell ref="A23:A25"/>
    <mergeCell ref="A26:A27"/>
    <mergeCell ref="B2:B28"/>
    <mergeCell ref="C2:C3"/>
    <mergeCell ref="C6:C7"/>
    <mergeCell ref="C8:C9"/>
    <mergeCell ref="C11:C12"/>
    <mergeCell ref="C13:C14"/>
    <mergeCell ref="C19:C20"/>
    <mergeCell ref="C21:C22"/>
    <mergeCell ref="C23:C25"/>
    <mergeCell ref="C26:C27"/>
    <mergeCell ref="D2:D16"/>
    <mergeCell ref="D17:D28"/>
    <mergeCell ref="E2:E3"/>
    <mergeCell ref="E6:E7"/>
    <mergeCell ref="E8:E9"/>
    <mergeCell ref="E11:E12"/>
    <mergeCell ref="E13:E14"/>
    <mergeCell ref="E19:E20"/>
    <mergeCell ref="E21:E22"/>
    <mergeCell ref="E26:E27"/>
  </mergeCells>
  <pageMargins left="0.7" right="0.7" top="0.75" bottom="0.75" header="0.3" footer="0.3"/>
  <headerFooter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 Compatible / Openpyxl 3.1.5</Application>
  <HeadingPairs>
    <vt:vector size="2" baseType="variant">
      <vt:variant>
        <vt:lpstr>工作表</vt:lpstr>
      </vt:variant>
      <vt:variant>
        <vt:i4>1</vt:i4>
      </vt:variant>
    </vt:vector>
  </HeadingPairs>
  <TitlesOfParts>
    <vt:vector size="1" baseType="lpstr">
      <vt:lpstr>工时估算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lastModifiedBy>ｍｉｎｇ</cp:lastModifiedBy>
  <dcterms:created xsi:type="dcterms:W3CDTF">2026-09-08T09:09:00Z</dcterms:created>
  <dcterms:modified xsi:type="dcterms:W3CDTF">2026-09-16T08:45:14Z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ICV">
    <vt:lpwstr>7D21879ADE854386BAE53BC4B81B09B2_12</vt:lpwstr>
  </property>
  <property fmtid="{D5CDD505-2E9C-101B-9397-08002B2CF9AE}" pid="3" name="KSOProductBuildVer">
    <vt:lpwstr>2052-12.1.0.28488</vt:lpwstr>
  </property>
  <property fmtid="{D5CDD505-2E9C-101B-9397-08002B2CF9AE}" pid="4" name="CalculationRule">
    <vt:i4>0</vt:i4>
  </property>
</Properties>
</file>
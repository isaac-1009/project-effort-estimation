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current\"/>
    </mc:Choice>
  </mc:AlternateContent>
  <xr:revisionPtr revIDLastSave="0" documentId="13_ncr:1_{75C0D837-7CC9-45D7-91F9-39DA43C7BCE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时估算" sheetId="1" r:id="rId1"/>
    <sheet name="工时估算 (AI)" sheetId="2" r:id="rId2"/>
    <sheet name="服务器报价估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43" i="2"/>
</calcChain>
</file>

<file path=xl/sharedStrings.xml><?xml version="1.0" encoding="utf-8"?>
<sst xmlns="http://schemas.openxmlformats.org/spreadsheetml/2006/main" count="235" uniqueCount="121">
  <si>
    <t>#</t>
  </si>
  <si>
    <t>系统</t>
  </si>
  <si>
    <t>模块</t>
  </si>
  <si>
    <t>功能</t>
  </si>
  <si>
    <t>工时估算(人天)</t>
  </si>
  <si>
    <t>描述</t>
  </si>
  <si>
    <t>微信小程序</t>
  </si>
  <si>
    <t>审核通过后颁发电子员工证，支持多店铺切换</t>
  </si>
  <si>
    <t>首页</t>
  </si>
  <si>
    <t>待办事项列表</t>
  </si>
  <si>
    <t>显示全部提醒：日常提报、待确认事项、到期预警、审批进度、活动通知</t>
  </si>
  <si>
    <t>销售管理</t>
  </si>
  <si>
    <t>每日销售提报</t>
  </si>
  <si>
    <t>日期、店铺名称、店铺号、营业额，保留全部数据</t>
  </si>
  <si>
    <t>月度销售提报</t>
  </si>
  <si>
    <t>日期、店铺名称、店铺号、营业额、线上、线下</t>
  </si>
  <si>
    <t>财务管理</t>
  </si>
  <si>
    <t>账单下载</t>
  </si>
  <si>
    <t>按权限下载缴费账单</t>
  </si>
  <si>
    <t>市场相关</t>
  </si>
  <si>
    <t>店铺提交活动内容、活动信息，需营运确认</t>
  </si>
  <si>
    <t>活动通知+总结查看</t>
  </si>
  <si>
    <t>接收微信活动通知，查看活动总结</t>
  </si>
  <si>
    <t>商场合作信息</t>
  </si>
  <si>
    <t>VIP折扣、员工折扣等，按权限展示</t>
  </si>
  <si>
    <t>营运管理</t>
  </si>
  <si>
    <t>三关一闭提报</t>
  </si>
  <si>
    <t>拍照+文字备注</t>
  </si>
  <si>
    <t>资质档案管理</t>
  </si>
  <si>
    <t>查看/上传营业执照、许可证、保险</t>
  </si>
  <si>
    <t>违纪/客诉查阅</t>
  </si>
  <si>
    <t>店铺可查阅违纪汇总、客诉汇总</t>
  </si>
  <si>
    <t>员工管理</t>
  </si>
  <si>
    <t>培训视频+答题</t>
  </si>
  <si>
    <t>观看培训视频，选择题考核，展示结果</t>
  </si>
  <si>
    <t>员工入离职管理</t>
  </si>
  <si>
    <t>入职提交审核，离职店铺端可删除</t>
  </si>
  <si>
    <t>员工进场扫码</t>
  </si>
  <si>
    <t>门口静态二维码，员工扫码，门卫确认放行</t>
  </si>
  <si>
    <t>共享文件</t>
  </si>
  <si>
    <t>制式单据下载</t>
  </si>
  <si>
    <t>面试表、开票信息等参考文档</t>
  </si>
  <si>
    <t>PC管理后台</t>
  </si>
  <si>
    <t>登录</t>
  </si>
  <si>
    <t>PC端微信扫码登录</t>
  </si>
  <si>
    <t>今日进场、销售数据、审批状态统计</t>
  </si>
  <si>
    <t>账号管理</t>
  </si>
  <si>
    <t>注册审核</t>
  </si>
  <si>
    <t>审核员工注册申请</t>
  </si>
  <si>
    <t>电子员工证管理</t>
  </si>
  <si>
    <t>查看员工证信息</t>
  </si>
  <si>
    <t>多店铺权限配置</t>
  </si>
  <si>
    <t>营运配置用户可查看的店铺列表</t>
  </si>
  <si>
    <t>查询导出销售数据</t>
  </si>
  <si>
    <t>查看月度销售数据</t>
  </si>
  <si>
    <t>账单导出+发送</t>
  </si>
  <si>
    <t>财务导出账单，微信通知+邮件发送</t>
  </si>
  <si>
    <t>市场管理</t>
  </si>
  <si>
    <t>活动审核+总结</t>
  </si>
  <si>
    <t>审核活动，发布活动总结</t>
  </si>
  <si>
    <t>积分抵现审核</t>
  </si>
  <si>
    <t>审核积分抵现申请</t>
  </si>
  <si>
    <t>商场合作信息维护</t>
  </si>
  <si>
    <t>维护VIP折扣、员工折扣等信息</t>
  </si>
  <si>
    <t>三关一闭统计</t>
  </si>
  <si>
    <t>查看三关一闭提交统计</t>
  </si>
  <si>
    <t>资质档案审核</t>
  </si>
  <si>
    <t>审核资质上传</t>
  </si>
  <si>
    <t>营运上传违纪、客诉信息</t>
  </si>
  <si>
    <t>培训视频分类+上传</t>
  </si>
  <si>
    <t>分类管理培训视频（入职/消防等）</t>
  </si>
  <si>
    <t>试卷配置管理</t>
  </si>
  <si>
    <t>配置选择题及答案</t>
  </si>
  <si>
    <t>答题记录查询</t>
  </si>
  <si>
    <t>查询员工答题历史和成绩</t>
  </si>
  <si>
    <t>系统设置</t>
  </si>
  <si>
    <t>店铺基本数据维护</t>
  </si>
  <si>
    <t>店铺信息录入/编辑，状态管理</t>
  </si>
  <si>
    <t>系统用户角色维护</t>
  </si>
  <si>
    <t>8角色定义和管理，权限配置</t>
  </si>
  <si>
    <t>小程序用户角色维护</t>
  </si>
  <si>
    <t>用户管理、角色绑定、多店铺权限配置</t>
  </si>
  <si>
    <t>其他</t>
  </si>
  <si>
    <t>系统测试</t>
  </si>
  <si>
    <t>人天</t>
  </si>
  <si>
    <t>登录账号</t>
    <phoneticPr fontId="1" type="noConversion"/>
  </si>
  <si>
    <t>活动提交+确认</t>
    <phoneticPr fontId="1" type="noConversion"/>
  </si>
  <si>
    <t>积分抵现对账</t>
    <phoneticPr fontId="1" type="noConversion"/>
  </si>
  <si>
    <t>店长发起，填固定表单，营运审核</t>
    <phoneticPr fontId="1" type="noConversion"/>
  </si>
  <si>
    <t>违纪/客诉上传，查看</t>
    <phoneticPr fontId="1" type="noConversion"/>
  </si>
  <si>
    <t>扫码注册+OCR识别+信息提交</t>
    <phoneticPr fontId="1" type="noConversion"/>
  </si>
  <si>
    <t>提交身份证、健康证等，OCR识别，后台审核</t>
    <phoneticPr fontId="1" type="noConversion"/>
  </si>
  <si>
    <t>电子员工证展示+多店铺切换</t>
    <phoneticPr fontId="1" type="noConversion"/>
  </si>
  <si>
    <t>UI设计</t>
    <phoneticPr fontId="1" type="noConversion"/>
  </si>
  <si>
    <t>小程序UI设计</t>
    <phoneticPr fontId="1" type="noConversion"/>
  </si>
  <si>
    <t>月度销售数据+导出</t>
    <phoneticPr fontId="1" type="noConversion"/>
  </si>
  <si>
    <t>编号</t>
    <phoneticPr fontId="1" type="noConversion"/>
  </si>
  <si>
    <t>分类</t>
    <phoneticPr fontId="1" type="noConversion"/>
  </si>
  <si>
    <t>内容</t>
    <phoneticPr fontId="1" type="noConversion"/>
  </si>
  <si>
    <t>费用估算</t>
    <phoneticPr fontId="1" type="noConversion"/>
  </si>
  <si>
    <t>备注</t>
    <phoneticPr fontId="1" type="noConversion"/>
  </si>
  <si>
    <t>接入层</t>
    <phoneticPr fontId="1" type="noConversion"/>
  </si>
  <si>
    <t>部署时根据实际用户量、数据量等信息动态调整</t>
    <phoneticPr fontId="1" type="noConversion"/>
  </si>
  <si>
    <t>计算资源</t>
    <phoneticPr fontId="1" type="noConversion"/>
  </si>
  <si>
    <t>数据存储与缓存</t>
    <phoneticPr fontId="1" type="noConversion"/>
  </si>
  <si>
    <t>运维</t>
    <phoneticPr fontId="1" type="noConversion"/>
  </si>
  <si>
    <t>域名/ssl证书/ALB/CDN</t>
    <phoneticPr fontId="1" type="noConversion"/>
  </si>
  <si>
    <t>PostgreSQL/Redis/OSS</t>
    <phoneticPr fontId="1" type="noConversion"/>
  </si>
  <si>
    <t>4核8G x 4</t>
    <phoneticPr fontId="1" type="noConversion"/>
  </si>
  <si>
    <t>SLS/Monitor/邮件推送</t>
    <phoneticPr fontId="1" type="noConversion"/>
  </si>
  <si>
    <t>25,000元~30,000/年</t>
    <phoneticPr fontId="1" type="noConversion"/>
  </si>
  <si>
    <t>环境搭建</t>
    <phoneticPr fontId="1" type="noConversion"/>
  </si>
  <si>
    <t>发布</t>
    <phoneticPr fontId="1" type="noConversion"/>
  </si>
  <si>
    <t>其他</t>
    <phoneticPr fontId="1" type="noConversion"/>
  </si>
  <si>
    <t>集成测试，系统测试</t>
    <phoneticPr fontId="1" type="noConversion"/>
  </si>
  <si>
    <t>开发，测试，生产环境搭建</t>
    <phoneticPr fontId="1" type="noConversion"/>
  </si>
  <si>
    <t>生产环境发布</t>
    <phoneticPr fontId="1" type="noConversion"/>
  </si>
  <si>
    <t>销售数据查询+导出</t>
    <phoneticPr fontId="1" type="noConversion"/>
  </si>
  <si>
    <t>后期运维费用2人天/月（5000/月）</t>
    <phoneticPr fontId="1" type="noConversion"/>
  </si>
  <si>
    <t>微信扫码/账号登录</t>
    <phoneticPr fontId="1" type="noConversion"/>
  </si>
  <si>
    <t>数据概览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</si>
</sst>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40.75" customWidth="1"/>
  </cols>
  <sheetData>
    <row r="1" spans="1:6" ht="15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6.5" x14ac:dyDescent="0.15">
      <c r="A2" s="16">
        <v>1</v>
      </c>
      <c r="B2" s="15" t="s">
        <v>6</v>
      </c>
      <c r="C2" s="15" t="s">
        <v>85</v>
      </c>
      <c r="D2" s="7" t="s">
        <v>90</v>
      </c>
      <c r="E2" s="6">
        <v>10</v>
      </c>
      <c r="F2" s="7" t="s">
        <v>91</v>
      </c>
    </row>
    <row r="3" spans="1:6" ht="16.5" x14ac:dyDescent="0.15">
      <c r="A3" s="16"/>
      <c r="B3" s="15"/>
      <c r="C3" s="15"/>
      <c r="D3" s="7" t="s">
        <v>92</v>
      </c>
      <c r="E3" s="6">
        <v>6</v>
      </c>
      <c r="F3" s="7" t="s">
        <v>7</v>
      </c>
    </row>
    <row r="4" spans="1:6" ht="33" x14ac:dyDescent="0.15">
      <c r="A4" s="6">
        <v>2</v>
      </c>
      <c r="B4" s="15"/>
      <c r="C4" s="7" t="s">
        <v>8</v>
      </c>
      <c r="D4" s="7" t="s">
        <v>9</v>
      </c>
      <c r="E4" s="6">
        <v>6</v>
      </c>
      <c r="F4" s="7" t="s">
        <v>10</v>
      </c>
    </row>
    <row r="5" spans="1:6" ht="33" x14ac:dyDescent="0.15">
      <c r="A5" s="16">
        <v>3</v>
      </c>
      <c r="B5" s="15"/>
      <c r="C5" s="15" t="s">
        <v>11</v>
      </c>
      <c r="D5" s="7" t="s">
        <v>12</v>
      </c>
      <c r="E5" s="6">
        <v>3</v>
      </c>
      <c r="F5" s="7" t="s">
        <v>13</v>
      </c>
    </row>
    <row r="6" spans="1:6" ht="16.5" x14ac:dyDescent="0.15">
      <c r="A6" s="16"/>
      <c r="B6" s="15"/>
      <c r="C6" s="15"/>
      <c r="D6" s="7" t="s">
        <v>14</v>
      </c>
      <c r="E6" s="6">
        <v>4</v>
      </c>
      <c r="F6" s="7" t="s">
        <v>15</v>
      </c>
    </row>
    <row r="7" spans="1:6" ht="16.5" x14ac:dyDescent="0.15">
      <c r="A7" s="6">
        <v>4</v>
      </c>
      <c r="B7" s="15"/>
      <c r="C7" s="7" t="s">
        <v>16</v>
      </c>
      <c r="D7" s="7" t="s">
        <v>17</v>
      </c>
      <c r="E7" s="6">
        <v>2</v>
      </c>
      <c r="F7" s="7" t="s">
        <v>18</v>
      </c>
    </row>
    <row r="8" spans="1:6" ht="16.5" x14ac:dyDescent="0.15">
      <c r="A8" s="16">
        <v>5</v>
      </c>
      <c r="B8" s="15"/>
      <c r="C8" s="15" t="s">
        <v>19</v>
      </c>
      <c r="D8" s="7" t="s">
        <v>86</v>
      </c>
      <c r="E8" s="6">
        <v>5</v>
      </c>
      <c r="F8" s="7" t="s">
        <v>20</v>
      </c>
    </row>
    <row r="9" spans="1:6" ht="16.5" x14ac:dyDescent="0.15">
      <c r="A9" s="16"/>
      <c r="B9" s="15"/>
      <c r="C9" s="15"/>
      <c r="D9" s="7" t="s">
        <v>21</v>
      </c>
      <c r="E9" s="6">
        <v>4</v>
      </c>
      <c r="F9" s="7" t="s">
        <v>22</v>
      </c>
    </row>
    <row r="10" spans="1:6" ht="16.5" x14ac:dyDescent="0.15">
      <c r="A10" s="16"/>
      <c r="B10" s="15"/>
      <c r="C10" s="15"/>
      <c r="D10" s="7" t="s">
        <v>87</v>
      </c>
      <c r="E10" s="6">
        <v>6</v>
      </c>
      <c r="F10" s="7" t="s">
        <v>88</v>
      </c>
    </row>
    <row r="11" spans="1:6" ht="16.5" x14ac:dyDescent="0.15">
      <c r="A11" s="16"/>
      <c r="B11" s="15"/>
      <c r="C11" s="15"/>
      <c r="D11" s="7" t="s">
        <v>23</v>
      </c>
      <c r="E11" s="6">
        <v>3</v>
      </c>
      <c r="F11" s="7" t="s">
        <v>24</v>
      </c>
    </row>
    <row r="12" spans="1:6" ht="16.5" x14ac:dyDescent="0.15">
      <c r="A12" s="16">
        <v>6</v>
      </c>
      <c r="B12" s="15"/>
      <c r="C12" s="15" t="s">
        <v>25</v>
      </c>
      <c r="D12" s="7" t="s">
        <v>26</v>
      </c>
      <c r="E12" s="6">
        <v>4</v>
      </c>
      <c r="F12" s="7" t="s">
        <v>27</v>
      </c>
    </row>
    <row r="13" spans="1:6" ht="16.5" x14ac:dyDescent="0.15">
      <c r="A13" s="16"/>
      <c r="B13" s="15"/>
      <c r="C13" s="15"/>
      <c r="D13" s="7" t="s">
        <v>28</v>
      </c>
      <c r="E13" s="6">
        <v>5</v>
      </c>
      <c r="F13" s="7" t="s">
        <v>29</v>
      </c>
    </row>
    <row r="14" spans="1:6" ht="16.5" x14ac:dyDescent="0.15">
      <c r="A14" s="16"/>
      <c r="B14" s="15"/>
      <c r="C14" s="15"/>
      <c r="D14" s="7" t="s">
        <v>30</v>
      </c>
      <c r="E14" s="6">
        <v>3</v>
      </c>
      <c r="F14" s="7" t="s">
        <v>31</v>
      </c>
    </row>
    <row r="15" spans="1:6" ht="16.5" x14ac:dyDescent="0.15">
      <c r="A15" s="16">
        <v>7</v>
      </c>
      <c r="B15" s="15"/>
      <c r="C15" s="15" t="s">
        <v>32</v>
      </c>
      <c r="D15" s="7" t="s">
        <v>33</v>
      </c>
      <c r="E15" s="6">
        <v>8</v>
      </c>
      <c r="F15" s="7" t="s">
        <v>34</v>
      </c>
    </row>
    <row r="16" spans="1:6" ht="16.5" x14ac:dyDescent="0.15">
      <c r="A16" s="16"/>
      <c r="B16" s="15"/>
      <c r="C16" s="15"/>
      <c r="D16" s="7" t="s">
        <v>35</v>
      </c>
      <c r="E16" s="6">
        <v>5</v>
      </c>
      <c r="F16" s="7" t="s">
        <v>36</v>
      </c>
    </row>
    <row r="17" spans="1:6" ht="16.5" x14ac:dyDescent="0.15">
      <c r="A17" s="16"/>
      <c r="B17" s="15"/>
      <c r="C17" s="15"/>
      <c r="D17" s="7" t="s">
        <v>37</v>
      </c>
      <c r="E17" s="6">
        <v>4</v>
      </c>
      <c r="F17" s="7" t="s">
        <v>38</v>
      </c>
    </row>
    <row r="18" spans="1:6" ht="16.5" x14ac:dyDescent="0.15">
      <c r="A18" s="6">
        <v>8</v>
      </c>
      <c r="B18" s="15"/>
      <c r="C18" s="7" t="s">
        <v>39</v>
      </c>
      <c r="D18" s="7" t="s">
        <v>40</v>
      </c>
      <c r="E18" s="6">
        <v>2</v>
      </c>
      <c r="F18" s="7" t="s">
        <v>41</v>
      </c>
    </row>
    <row r="19" spans="1:6" ht="16.5" x14ac:dyDescent="0.15">
      <c r="A19" s="6">
        <v>9</v>
      </c>
      <c r="B19" s="15" t="s">
        <v>42</v>
      </c>
      <c r="C19" s="7" t="s">
        <v>43</v>
      </c>
      <c r="D19" s="7" t="s">
        <v>119</v>
      </c>
      <c r="E19" s="6">
        <v>4</v>
      </c>
      <c r="F19" s="7" t="s">
        <v>44</v>
      </c>
    </row>
    <row r="20" spans="1:6" ht="16.5" x14ac:dyDescent="0.15">
      <c r="A20" s="6">
        <v>10</v>
      </c>
      <c r="B20" s="15"/>
      <c r="C20" s="7" t="s">
        <v>8</v>
      </c>
      <c r="D20" s="7" t="s">
        <v>120</v>
      </c>
      <c r="E20" s="6">
        <v>6</v>
      </c>
      <c r="F20" s="7" t="s">
        <v>45</v>
      </c>
    </row>
    <row r="21" spans="1:6" ht="16.5" x14ac:dyDescent="0.15">
      <c r="A21" s="16">
        <v>11</v>
      </c>
      <c r="B21" s="15"/>
      <c r="C21" s="15" t="s">
        <v>46</v>
      </c>
      <c r="D21" s="7" t="s">
        <v>47</v>
      </c>
      <c r="E21" s="6">
        <v>4</v>
      </c>
      <c r="F21" s="7" t="s">
        <v>48</v>
      </c>
    </row>
    <row r="22" spans="1:6" ht="16.5" x14ac:dyDescent="0.15">
      <c r="A22" s="16"/>
      <c r="B22" s="15"/>
      <c r="C22" s="15"/>
      <c r="D22" s="7" t="s">
        <v>49</v>
      </c>
      <c r="E22" s="6">
        <v>2</v>
      </c>
      <c r="F22" s="7" t="s">
        <v>50</v>
      </c>
    </row>
    <row r="23" spans="1:6" ht="16.5" x14ac:dyDescent="0.15">
      <c r="A23" s="16"/>
      <c r="B23" s="15"/>
      <c r="C23" s="15"/>
      <c r="D23" s="7" t="s">
        <v>51</v>
      </c>
      <c r="E23" s="6">
        <v>5</v>
      </c>
      <c r="F23" s="7" t="s">
        <v>52</v>
      </c>
    </row>
    <row r="24" spans="1:6" ht="16.5" x14ac:dyDescent="0.15">
      <c r="A24" s="16">
        <v>12</v>
      </c>
      <c r="B24" s="15"/>
      <c r="C24" s="15" t="s">
        <v>11</v>
      </c>
      <c r="D24" s="7" t="s">
        <v>117</v>
      </c>
      <c r="E24" s="6">
        <v>5</v>
      </c>
      <c r="F24" s="7" t="s">
        <v>53</v>
      </c>
    </row>
    <row r="25" spans="1:6" ht="16.5" x14ac:dyDescent="0.15">
      <c r="A25" s="16"/>
      <c r="B25" s="15"/>
      <c r="C25" s="15"/>
      <c r="D25" s="7" t="s">
        <v>95</v>
      </c>
      <c r="E25" s="6">
        <v>4</v>
      </c>
      <c r="F25" s="7" t="s">
        <v>54</v>
      </c>
    </row>
    <row r="26" spans="1:6" ht="16.5" x14ac:dyDescent="0.15">
      <c r="A26" s="6">
        <v>13</v>
      </c>
      <c r="B26" s="15"/>
      <c r="C26" s="7" t="s">
        <v>16</v>
      </c>
      <c r="D26" s="7" t="s">
        <v>55</v>
      </c>
      <c r="E26" s="6">
        <v>5</v>
      </c>
      <c r="F26" s="7" t="s">
        <v>56</v>
      </c>
    </row>
    <row r="27" spans="1:6" ht="16.5" x14ac:dyDescent="0.15">
      <c r="A27" s="16">
        <v>14</v>
      </c>
      <c r="B27" s="15"/>
      <c r="C27" s="15" t="s">
        <v>57</v>
      </c>
      <c r="D27" s="7" t="s">
        <v>58</v>
      </c>
      <c r="E27" s="6">
        <v>6</v>
      </c>
      <c r="F27" s="7" t="s">
        <v>59</v>
      </c>
    </row>
    <row r="28" spans="1:6" ht="16.5" x14ac:dyDescent="0.15">
      <c r="A28" s="16"/>
      <c r="B28" s="15"/>
      <c r="C28" s="15"/>
      <c r="D28" s="7" t="s">
        <v>60</v>
      </c>
      <c r="E28" s="6">
        <v>5</v>
      </c>
      <c r="F28" s="7" t="s">
        <v>61</v>
      </c>
    </row>
    <row r="29" spans="1:6" ht="16.5" x14ac:dyDescent="0.15">
      <c r="A29" s="16"/>
      <c r="B29" s="15"/>
      <c r="C29" s="15"/>
      <c r="D29" s="7" t="s">
        <v>62</v>
      </c>
      <c r="E29" s="6">
        <v>3</v>
      </c>
      <c r="F29" s="7" t="s">
        <v>63</v>
      </c>
    </row>
    <row r="30" spans="1:6" ht="16.5" x14ac:dyDescent="0.15">
      <c r="A30" s="16">
        <v>15</v>
      </c>
      <c r="B30" s="15"/>
      <c r="C30" s="15" t="s">
        <v>25</v>
      </c>
      <c r="D30" s="7" t="s">
        <v>64</v>
      </c>
      <c r="E30" s="6">
        <v>3</v>
      </c>
      <c r="F30" s="7" t="s">
        <v>65</v>
      </c>
    </row>
    <row r="31" spans="1:6" ht="16.5" x14ac:dyDescent="0.15">
      <c r="A31" s="16"/>
      <c r="B31" s="15"/>
      <c r="C31" s="15"/>
      <c r="D31" s="7" t="s">
        <v>66</v>
      </c>
      <c r="E31" s="6">
        <v>3</v>
      </c>
      <c r="F31" s="7" t="s">
        <v>67</v>
      </c>
    </row>
    <row r="32" spans="1:6" ht="16.5" x14ac:dyDescent="0.15">
      <c r="A32" s="16"/>
      <c r="B32" s="15"/>
      <c r="C32" s="15"/>
      <c r="D32" s="7" t="s">
        <v>89</v>
      </c>
      <c r="E32" s="6">
        <v>5</v>
      </c>
      <c r="F32" s="7" t="s">
        <v>68</v>
      </c>
    </row>
    <row r="33" spans="1:6" ht="16.5" x14ac:dyDescent="0.15">
      <c r="A33" s="16">
        <v>16</v>
      </c>
      <c r="B33" s="15"/>
      <c r="C33" s="15" t="s">
        <v>32</v>
      </c>
      <c r="D33" s="7" t="s">
        <v>69</v>
      </c>
      <c r="E33" s="6">
        <v>5</v>
      </c>
      <c r="F33" s="7" t="s">
        <v>70</v>
      </c>
    </row>
    <row r="34" spans="1:6" ht="16.5" x14ac:dyDescent="0.15">
      <c r="A34" s="16"/>
      <c r="B34" s="15"/>
      <c r="C34" s="15"/>
      <c r="D34" s="7" t="s">
        <v>71</v>
      </c>
      <c r="E34" s="6">
        <v>6</v>
      </c>
      <c r="F34" s="7" t="s">
        <v>72</v>
      </c>
    </row>
    <row r="35" spans="1:6" ht="16.5" x14ac:dyDescent="0.15">
      <c r="A35" s="16"/>
      <c r="B35" s="15"/>
      <c r="C35" s="15"/>
      <c r="D35" s="7" t="s">
        <v>73</v>
      </c>
      <c r="E35" s="6">
        <v>3</v>
      </c>
      <c r="F35" s="7" t="s">
        <v>74</v>
      </c>
    </row>
    <row r="36" spans="1:6" ht="16.5" x14ac:dyDescent="0.15">
      <c r="A36" s="16">
        <v>17</v>
      </c>
      <c r="B36" s="15"/>
      <c r="C36" s="15" t="s">
        <v>75</v>
      </c>
      <c r="D36" s="7" t="s">
        <v>76</v>
      </c>
      <c r="E36" s="6">
        <v>4</v>
      </c>
      <c r="F36" s="7" t="s">
        <v>77</v>
      </c>
    </row>
    <row r="37" spans="1:6" ht="16.5" x14ac:dyDescent="0.15">
      <c r="A37" s="16"/>
      <c r="B37" s="15"/>
      <c r="C37" s="15"/>
      <c r="D37" s="7" t="s">
        <v>78</v>
      </c>
      <c r="E37" s="6">
        <v>6</v>
      </c>
      <c r="F37" s="7" t="s">
        <v>79</v>
      </c>
    </row>
    <row r="38" spans="1:6" ht="16.5" x14ac:dyDescent="0.15">
      <c r="A38" s="19"/>
      <c r="B38" s="17"/>
      <c r="C38" s="17"/>
      <c r="D38" s="11" t="s">
        <v>80</v>
      </c>
      <c r="E38" s="10">
        <v>5</v>
      </c>
      <c r="F38" s="11" t="s">
        <v>81</v>
      </c>
    </row>
    <row r="39" spans="1:6" ht="16.5" x14ac:dyDescent="0.15">
      <c r="A39" s="12">
        <v>18</v>
      </c>
      <c r="B39" s="18" t="s">
        <v>82</v>
      </c>
      <c r="C39" s="13" t="s">
        <v>93</v>
      </c>
      <c r="D39" s="14" t="s">
        <v>94</v>
      </c>
      <c r="E39" s="12">
        <v>10</v>
      </c>
      <c r="F39" s="14"/>
    </row>
    <row r="40" spans="1:6" ht="16.5" x14ac:dyDescent="0.15">
      <c r="A40" s="12">
        <v>19</v>
      </c>
      <c r="B40" s="18"/>
      <c r="C40" s="14" t="s">
        <v>83</v>
      </c>
      <c r="D40" s="14" t="s">
        <v>114</v>
      </c>
      <c r="E40" s="12">
        <v>12</v>
      </c>
      <c r="F40" s="14"/>
    </row>
    <row r="41" spans="1:6" ht="16.5" x14ac:dyDescent="0.15">
      <c r="A41" s="12">
        <v>20</v>
      </c>
      <c r="B41" s="18"/>
      <c r="C41" s="14" t="s">
        <v>111</v>
      </c>
      <c r="D41" s="14" t="s">
        <v>115</v>
      </c>
      <c r="E41" s="12">
        <v>3</v>
      </c>
      <c r="F41" s="14"/>
    </row>
    <row r="42" spans="1:6" ht="16.5" x14ac:dyDescent="0.15">
      <c r="A42" s="12">
        <v>21</v>
      </c>
      <c r="B42" s="18"/>
      <c r="C42" s="14" t="s">
        <v>112</v>
      </c>
      <c r="D42" s="14" t="s">
        <v>116</v>
      </c>
      <c r="E42" s="12">
        <v>2</v>
      </c>
      <c r="F42" s="14"/>
    </row>
    <row r="43" spans="1:6" ht="15" x14ac:dyDescent="0.15">
      <c r="A43" s="8"/>
      <c r="B43" s="8"/>
      <c r="C43" s="8"/>
      <c r="D43" s="8"/>
      <c r="E43" s="9">
        <f>SUM(E2:E42)</f>
        <v>196</v>
      </c>
      <c r="F43" s="9" t="s">
        <v>84</v>
      </c>
    </row>
    <row r="45" spans="1:6" ht="15" x14ac:dyDescent="0.15">
      <c r="D45" s="29" t="s">
        <v>118</v>
      </c>
    </row>
  </sheetData>
  <mergeCells count="25">
    <mergeCell ref="C30:C32"/>
    <mergeCell ref="A12:A14"/>
    <mergeCell ref="C12:C14"/>
    <mergeCell ref="A15:A17"/>
    <mergeCell ref="B39:B42"/>
    <mergeCell ref="A33:A35"/>
    <mergeCell ref="C33:C35"/>
    <mergeCell ref="A36:A38"/>
    <mergeCell ref="C36:C38"/>
    <mergeCell ref="C15:C17"/>
    <mergeCell ref="A21:A23"/>
    <mergeCell ref="C21:C23"/>
    <mergeCell ref="A2:A3"/>
    <mergeCell ref="C2:C3"/>
    <mergeCell ref="A5:A6"/>
    <mergeCell ref="C5:C6"/>
    <mergeCell ref="A8:A11"/>
    <mergeCell ref="C8:C11"/>
    <mergeCell ref="B2:B18"/>
    <mergeCell ref="B19:B38"/>
    <mergeCell ref="A24:A25"/>
    <mergeCell ref="C24:C25"/>
    <mergeCell ref="A27:A29"/>
    <mergeCell ref="C27:C29"/>
    <mergeCell ref="A30:A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A891-9E34-4DFE-9ADE-9CD72CCB1868}">
  <dimension ref="A1:F45"/>
  <sheetViews>
    <sheetView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5.75" style="5" customWidth="1"/>
    <col min="2" max="2" width="15.75" style="5" customWidth="1"/>
    <col min="3" max="3" width="20.75" style="5" customWidth="1"/>
    <col min="4" max="4" width="30.75" style="5" customWidth="1"/>
    <col min="5" max="5" width="15.75" style="5" customWidth="1"/>
    <col min="6" max="6" width="40.75" style="5" customWidth="1"/>
    <col min="7" max="16384" width="9" style="5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6">
        <v>1</v>
      </c>
      <c r="B2" s="15" t="s">
        <v>6</v>
      </c>
      <c r="C2" s="15" t="s">
        <v>85</v>
      </c>
      <c r="D2" s="7" t="s">
        <v>90</v>
      </c>
      <c r="E2" s="6">
        <v>5</v>
      </c>
      <c r="F2" s="7" t="s">
        <v>91</v>
      </c>
    </row>
    <row r="3" spans="1:6" x14ac:dyDescent="0.3">
      <c r="A3" s="16"/>
      <c r="B3" s="15"/>
      <c r="C3" s="15"/>
      <c r="D3" s="7" t="s">
        <v>92</v>
      </c>
      <c r="E3" s="6">
        <v>2</v>
      </c>
      <c r="F3" s="7" t="s">
        <v>7</v>
      </c>
    </row>
    <row r="4" spans="1:6" ht="33" x14ac:dyDescent="0.3">
      <c r="A4" s="6">
        <v>2</v>
      </c>
      <c r="B4" s="15"/>
      <c r="C4" s="7" t="s">
        <v>8</v>
      </c>
      <c r="D4" s="7" t="s">
        <v>9</v>
      </c>
      <c r="E4" s="6">
        <v>3</v>
      </c>
      <c r="F4" s="7" t="s">
        <v>10</v>
      </c>
    </row>
    <row r="5" spans="1:6" ht="33" x14ac:dyDescent="0.3">
      <c r="A5" s="16">
        <v>3</v>
      </c>
      <c r="B5" s="15"/>
      <c r="C5" s="15" t="s">
        <v>11</v>
      </c>
      <c r="D5" s="7" t="s">
        <v>12</v>
      </c>
      <c r="E5" s="6">
        <v>2</v>
      </c>
      <c r="F5" s="7" t="s">
        <v>13</v>
      </c>
    </row>
    <row r="6" spans="1:6" x14ac:dyDescent="0.3">
      <c r="A6" s="16"/>
      <c r="B6" s="15"/>
      <c r="C6" s="15"/>
      <c r="D6" s="7" t="s">
        <v>14</v>
      </c>
      <c r="E6" s="6">
        <v>2</v>
      </c>
      <c r="F6" s="7" t="s">
        <v>15</v>
      </c>
    </row>
    <row r="7" spans="1:6" x14ac:dyDescent="0.3">
      <c r="A7" s="6">
        <v>4</v>
      </c>
      <c r="B7" s="15"/>
      <c r="C7" s="7" t="s">
        <v>16</v>
      </c>
      <c r="D7" s="7" t="s">
        <v>17</v>
      </c>
      <c r="E7" s="6">
        <v>2</v>
      </c>
      <c r="F7" s="7" t="s">
        <v>18</v>
      </c>
    </row>
    <row r="8" spans="1:6" x14ac:dyDescent="0.3">
      <c r="A8" s="16">
        <v>5</v>
      </c>
      <c r="B8" s="15"/>
      <c r="C8" s="15" t="s">
        <v>19</v>
      </c>
      <c r="D8" s="7" t="s">
        <v>86</v>
      </c>
      <c r="E8" s="6">
        <v>2</v>
      </c>
      <c r="F8" s="7" t="s">
        <v>20</v>
      </c>
    </row>
    <row r="9" spans="1:6" x14ac:dyDescent="0.3">
      <c r="A9" s="16"/>
      <c r="B9" s="15"/>
      <c r="C9" s="15"/>
      <c r="D9" s="7" t="s">
        <v>21</v>
      </c>
      <c r="E9" s="6">
        <v>2</v>
      </c>
      <c r="F9" s="7" t="s">
        <v>22</v>
      </c>
    </row>
    <row r="10" spans="1:6" x14ac:dyDescent="0.3">
      <c r="A10" s="16"/>
      <c r="B10" s="15"/>
      <c r="C10" s="15"/>
      <c r="D10" s="7" t="s">
        <v>87</v>
      </c>
      <c r="E10" s="6">
        <v>3</v>
      </c>
      <c r="F10" s="7" t="s">
        <v>88</v>
      </c>
    </row>
    <row r="11" spans="1:6" x14ac:dyDescent="0.3">
      <c r="A11" s="16"/>
      <c r="B11" s="15"/>
      <c r="C11" s="15"/>
      <c r="D11" s="7" t="s">
        <v>23</v>
      </c>
      <c r="E11" s="6">
        <v>3</v>
      </c>
      <c r="F11" s="7" t="s">
        <v>24</v>
      </c>
    </row>
    <row r="12" spans="1:6" x14ac:dyDescent="0.3">
      <c r="A12" s="16">
        <v>6</v>
      </c>
      <c r="B12" s="15"/>
      <c r="C12" s="15" t="s">
        <v>25</v>
      </c>
      <c r="D12" s="7" t="s">
        <v>26</v>
      </c>
      <c r="E12" s="6">
        <v>2</v>
      </c>
      <c r="F12" s="7" t="s">
        <v>27</v>
      </c>
    </row>
    <row r="13" spans="1:6" x14ac:dyDescent="0.3">
      <c r="A13" s="16"/>
      <c r="B13" s="15"/>
      <c r="C13" s="15"/>
      <c r="D13" s="7" t="s">
        <v>28</v>
      </c>
      <c r="E13" s="6">
        <v>3</v>
      </c>
      <c r="F13" s="7" t="s">
        <v>29</v>
      </c>
    </row>
    <row r="14" spans="1:6" x14ac:dyDescent="0.3">
      <c r="A14" s="16"/>
      <c r="B14" s="15"/>
      <c r="C14" s="15"/>
      <c r="D14" s="7" t="s">
        <v>30</v>
      </c>
      <c r="E14" s="6">
        <v>3</v>
      </c>
      <c r="F14" s="7" t="s">
        <v>31</v>
      </c>
    </row>
    <row r="15" spans="1:6" x14ac:dyDescent="0.3">
      <c r="A15" s="16">
        <v>7</v>
      </c>
      <c r="B15" s="15"/>
      <c r="C15" s="15" t="s">
        <v>32</v>
      </c>
      <c r="D15" s="7" t="s">
        <v>33</v>
      </c>
      <c r="E15" s="6">
        <v>4</v>
      </c>
      <c r="F15" s="7" t="s">
        <v>34</v>
      </c>
    </row>
    <row r="16" spans="1:6" x14ac:dyDescent="0.3">
      <c r="A16" s="16"/>
      <c r="B16" s="15"/>
      <c r="C16" s="15"/>
      <c r="D16" s="7" t="s">
        <v>35</v>
      </c>
      <c r="E16" s="6">
        <v>3</v>
      </c>
      <c r="F16" s="7" t="s">
        <v>36</v>
      </c>
    </row>
    <row r="17" spans="1:6" x14ac:dyDescent="0.3">
      <c r="A17" s="16"/>
      <c r="B17" s="15"/>
      <c r="C17" s="15"/>
      <c r="D17" s="7" t="s">
        <v>37</v>
      </c>
      <c r="E17" s="6">
        <v>1</v>
      </c>
      <c r="F17" s="7" t="s">
        <v>38</v>
      </c>
    </row>
    <row r="18" spans="1:6" x14ac:dyDescent="0.3">
      <c r="A18" s="6">
        <v>8</v>
      </c>
      <c r="B18" s="15"/>
      <c r="C18" s="7" t="s">
        <v>39</v>
      </c>
      <c r="D18" s="7" t="s">
        <v>40</v>
      </c>
      <c r="E18" s="6">
        <v>2</v>
      </c>
      <c r="F18" s="7" t="s">
        <v>41</v>
      </c>
    </row>
    <row r="19" spans="1:6" x14ac:dyDescent="0.3">
      <c r="A19" s="6">
        <v>9</v>
      </c>
      <c r="B19" s="15" t="s">
        <v>42</v>
      </c>
      <c r="C19" s="7" t="s">
        <v>43</v>
      </c>
      <c r="D19" s="7" t="s">
        <v>119</v>
      </c>
      <c r="E19" s="6">
        <v>2</v>
      </c>
      <c r="F19" s="7" t="s">
        <v>44</v>
      </c>
    </row>
    <row r="20" spans="1:6" x14ac:dyDescent="0.3">
      <c r="A20" s="6">
        <v>10</v>
      </c>
      <c r="B20" s="15"/>
      <c r="C20" s="7" t="s">
        <v>8</v>
      </c>
      <c r="D20" s="7" t="s">
        <v>120</v>
      </c>
      <c r="E20" s="6">
        <v>2</v>
      </c>
      <c r="F20" s="7" t="s">
        <v>45</v>
      </c>
    </row>
    <row r="21" spans="1:6" x14ac:dyDescent="0.3">
      <c r="A21" s="16">
        <v>11</v>
      </c>
      <c r="B21" s="15"/>
      <c r="C21" s="15" t="s">
        <v>46</v>
      </c>
      <c r="D21" s="7" t="s">
        <v>47</v>
      </c>
      <c r="E21" s="6">
        <v>1</v>
      </c>
      <c r="F21" s="7" t="s">
        <v>48</v>
      </c>
    </row>
    <row r="22" spans="1:6" x14ac:dyDescent="0.3">
      <c r="A22" s="16"/>
      <c r="B22" s="15"/>
      <c r="C22" s="15"/>
      <c r="D22" s="7" t="s">
        <v>49</v>
      </c>
      <c r="E22" s="6">
        <v>1</v>
      </c>
      <c r="F22" s="7" t="s">
        <v>50</v>
      </c>
    </row>
    <row r="23" spans="1:6" x14ac:dyDescent="0.3">
      <c r="A23" s="16"/>
      <c r="B23" s="15"/>
      <c r="C23" s="15"/>
      <c r="D23" s="7" t="s">
        <v>51</v>
      </c>
      <c r="E23" s="6">
        <v>2</v>
      </c>
      <c r="F23" s="7" t="s">
        <v>52</v>
      </c>
    </row>
    <row r="24" spans="1:6" x14ac:dyDescent="0.3">
      <c r="A24" s="16">
        <v>12</v>
      </c>
      <c r="B24" s="15"/>
      <c r="C24" s="15" t="s">
        <v>11</v>
      </c>
      <c r="D24" s="7" t="s">
        <v>117</v>
      </c>
      <c r="E24" s="6">
        <v>2</v>
      </c>
      <c r="F24" s="7" t="s">
        <v>53</v>
      </c>
    </row>
    <row r="25" spans="1:6" x14ac:dyDescent="0.3">
      <c r="A25" s="16"/>
      <c r="B25" s="15"/>
      <c r="C25" s="15"/>
      <c r="D25" s="7" t="s">
        <v>95</v>
      </c>
      <c r="E25" s="6">
        <v>3</v>
      </c>
      <c r="F25" s="7" t="s">
        <v>54</v>
      </c>
    </row>
    <row r="26" spans="1:6" x14ac:dyDescent="0.3">
      <c r="A26" s="6">
        <v>13</v>
      </c>
      <c r="B26" s="15"/>
      <c r="C26" s="7" t="s">
        <v>16</v>
      </c>
      <c r="D26" s="7" t="s">
        <v>55</v>
      </c>
      <c r="E26" s="6">
        <v>3</v>
      </c>
      <c r="F26" s="7" t="s">
        <v>56</v>
      </c>
    </row>
    <row r="27" spans="1:6" x14ac:dyDescent="0.3">
      <c r="A27" s="16">
        <v>14</v>
      </c>
      <c r="B27" s="15"/>
      <c r="C27" s="15" t="s">
        <v>57</v>
      </c>
      <c r="D27" s="7" t="s">
        <v>58</v>
      </c>
      <c r="E27" s="6">
        <v>3</v>
      </c>
      <c r="F27" s="7" t="s">
        <v>59</v>
      </c>
    </row>
    <row r="28" spans="1:6" x14ac:dyDescent="0.3">
      <c r="A28" s="16"/>
      <c r="B28" s="15"/>
      <c r="C28" s="15"/>
      <c r="D28" s="7" t="s">
        <v>60</v>
      </c>
      <c r="E28" s="6">
        <v>3</v>
      </c>
      <c r="F28" s="7" t="s">
        <v>61</v>
      </c>
    </row>
    <row r="29" spans="1:6" x14ac:dyDescent="0.3">
      <c r="A29" s="16"/>
      <c r="B29" s="15"/>
      <c r="C29" s="15"/>
      <c r="D29" s="7" t="s">
        <v>62</v>
      </c>
      <c r="E29" s="6">
        <v>3</v>
      </c>
      <c r="F29" s="7" t="s">
        <v>63</v>
      </c>
    </row>
    <row r="30" spans="1:6" x14ac:dyDescent="0.3">
      <c r="A30" s="16">
        <v>15</v>
      </c>
      <c r="B30" s="15"/>
      <c r="C30" s="15" t="s">
        <v>25</v>
      </c>
      <c r="D30" s="7" t="s">
        <v>64</v>
      </c>
      <c r="E30" s="6">
        <v>2</v>
      </c>
      <c r="F30" s="7" t="s">
        <v>65</v>
      </c>
    </row>
    <row r="31" spans="1:6" x14ac:dyDescent="0.3">
      <c r="A31" s="16"/>
      <c r="B31" s="15"/>
      <c r="C31" s="15"/>
      <c r="D31" s="7" t="s">
        <v>66</v>
      </c>
      <c r="E31" s="6">
        <v>2</v>
      </c>
      <c r="F31" s="7" t="s">
        <v>67</v>
      </c>
    </row>
    <row r="32" spans="1:6" x14ac:dyDescent="0.3">
      <c r="A32" s="16"/>
      <c r="B32" s="15"/>
      <c r="C32" s="15"/>
      <c r="D32" s="7" t="s">
        <v>89</v>
      </c>
      <c r="E32" s="6">
        <v>2</v>
      </c>
      <c r="F32" s="7" t="s">
        <v>68</v>
      </c>
    </row>
    <row r="33" spans="1:6" x14ac:dyDescent="0.3">
      <c r="A33" s="16">
        <v>16</v>
      </c>
      <c r="B33" s="15"/>
      <c r="C33" s="15" t="s">
        <v>32</v>
      </c>
      <c r="D33" s="7" t="s">
        <v>69</v>
      </c>
      <c r="E33" s="6">
        <v>2</v>
      </c>
      <c r="F33" s="7" t="s">
        <v>70</v>
      </c>
    </row>
    <row r="34" spans="1:6" x14ac:dyDescent="0.3">
      <c r="A34" s="16"/>
      <c r="B34" s="15"/>
      <c r="C34" s="15"/>
      <c r="D34" s="7" t="s">
        <v>71</v>
      </c>
      <c r="E34" s="6">
        <v>3</v>
      </c>
      <c r="F34" s="7" t="s">
        <v>72</v>
      </c>
    </row>
    <row r="35" spans="1:6" x14ac:dyDescent="0.3">
      <c r="A35" s="16"/>
      <c r="B35" s="15"/>
      <c r="C35" s="15"/>
      <c r="D35" s="7" t="s">
        <v>73</v>
      </c>
      <c r="E35" s="6">
        <v>2</v>
      </c>
      <c r="F35" s="7" t="s">
        <v>74</v>
      </c>
    </row>
    <row r="36" spans="1:6" x14ac:dyDescent="0.3">
      <c r="A36" s="16">
        <v>17</v>
      </c>
      <c r="B36" s="15"/>
      <c r="C36" s="15" t="s">
        <v>75</v>
      </c>
      <c r="D36" s="7" t="s">
        <v>76</v>
      </c>
      <c r="E36" s="6">
        <v>3</v>
      </c>
      <c r="F36" s="7" t="s">
        <v>77</v>
      </c>
    </row>
    <row r="37" spans="1:6" x14ac:dyDescent="0.3">
      <c r="A37" s="16"/>
      <c r="B37" s="15"/>
      <c r="C37" s="15"/>
      <c r="D37" s="7" t="s">
        <v>78</v>
      </c>
      <c r="E37" s="6">
        <v>3</v>
      </c>
      <c r="F37" s="7" t="s">
        <v>79</v>
      </c>
    </row>
    <row r="38" spans="1:6" x14ac:dyDescent="0.3">
      <c r="A38" s="19"/>
      <c r="B38" s="17"/>
      <c r="C38" s="17"/>
      <c r="D38" s="11" t="s">
        <v>80</v>
      </c>
      <c r="E38" s="10">
        <v>3</v>
      </c>
      <c r="F38" s="11" t="s">
        <v>81</v>
      </c>
    </row>
    <row r="39" spans="1:6" x14ac:dyDescent="0.3">
      <c r="A39" s="12">
        <v>18</v>
      </c>
      <c r="B39" s="20" t="s">
        <v>113</v>
      </c>
      <c r="C39" s="13" t="s">
        <v>93</v>
      </c>
      <c r="D39" s="14" t="s">
        <v>94</v>
      </c>
      <c r="E39" s="12">
        <v>10</v>
      </c>
      <c r="F39" s="14"/>
    </row>
    <row r="40" spans="1:6" x14ac:dyDescent="0.3">
      <c r="A40" s="12">
        <v>19</v>
      </c>
      <c r="B40" s="21"/>
      <c r="C40" s="14" t="s">
        <v>83</v>
      </c>
      <c r="D40" s="14" t="s">
        <v>114</v>
      </c>
      <c r="E40" s="12">
        <v>12</v>
      </c>
      <c r="F40" s="14"/>
    </row>
    <row r="41" spans="1:6" x14ac:dyDescent="0.3">
      <c r="A41" s="12">
        <v>20</v>
      </c>
      <c r="B41" s="21"/>
      <c r="C41" s="14" t="s">
        <v>111</v>
      </c>
      <c r="D41" s="14" t="s">
        <v>115</v>
      </c>
      <c r="E41" s="12">
        <v>3</v>
      </c>
      <c r="F41" s="14"/>
    </row>
    <row r="42" spans="1:6" x14ac:dyDescent="0.3">
      <c r="A42" s="12">
        <v>21</v>
      </c>
      <c r="B42" s="22"/>
      <c r="C42" s="14" t="s">
        <v>112</v>
      </c>
      <c r="D42" s="14" t="s">
        <v>116</v>
      </c>
      <c r="E42" s="12">
        <v>2</v>
      </c>
      <c r="F42" s="14"/>
    </row>
    <row r="43" spans="1:6" x14ac:dyDescent="0.3">
      <c r="A43" s="8"/>
      <c r="B43" s="8"/>
      <c r="C43" s="8"/>
      <c r="D43" s="8"/>
      <c r="E43" s="9">
        <f>SUM(E2:E42)</f>
        <v>118</v>
      </c>
      <c r="F43" s="9" t="s">
        <v>84</v>
      </c>
    </row>
    <row r="45" spans="1:6" x14ac:dyDescent="0.3">
      <c r="D45" s="29" t="s">
        <v>118</v>
      </c>
    </row>
  </sheetData>
  <mergeCells count="25">
    <mergeCell ref="B39:B42"/>
    <mergeCell ref="B19:B38"/>
    <mergeCell ref="A21:A23"/>
    <mergeCell ref="C21:C23"/>
    <mergeCell ref="A24:A25"/>
    <mergeCell ref="C24:C25"/>
    <mergeCell ref="A27:A29"/>
    <mergeCell ref="C27:C29"/>
    <mergeCell ref="A30:A32"/>
    <mergeCell ref="C30:C32"/>
    <mergeCell ref="A33:A35"/>
    <mergeCell ref="C33:C35"/>
    <mergeCell ref="A36:A38"/>
    <mergeCell ref="C36:C38"/>
    <mergeCell ref="A2:A3"/>
    <mergeCell ref="B2:B18"/>
    <mergeCell ref="C2:C3"/>
    <mergeCell ref="A5:A6"/>
    <mergeCell ref="C5:C6"/>
    <mergeCell ref="A8:A11"/>
    <mergeCell ref="C8:C11"/>
    <mergeCell ref="A12:A14"/>
    <mergeCell ref="C12:C14"/>
    <mergeCell ref="A15:A17"/>
    <mergeCell ref="C15:C1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8D0D-E75E-495D-B186-ECE286E73F74}">
  <dimension ref="B3:F7"/>
  <sheetViews>
    <sheetView zoomScale="115" zoomScaleNormal="115" workbookViewId="0"/>
  </sheetViews>
  <sheetFormatPr defaultRowHeight="13.5" x14ac:dyDescent="0.15"/>
  <cols>
    <col min="3" max="3" width="15.875" customWidth="1"/>
    <col min="4" max="4" width="41.75" customWidth="1"/>
    <col min="5" max="5" width="24.625" customWidth="1"/>
    <col min="6" max="6" width="31.25" customWidth="1"/>
  </cols>
  <sheetData>
    <row r="3" spans="2:6" ht="15" x14ac:dyDescent="0.15">
      <c r="B3" s="1" t="s">
        <v>96</v>
      </c>
      <c r="C3" s="1" t="s">
        <v>97</v>
      </c>
      <c r="D3" s="1" t="s">
        <v>98</v>
      </c>
      <c r="E3" s="2" t="s">
        <v>99</v>
      </c>
      <c r="F3" s="1" t="s">
        <v>100</v>
      </c>
    </row>
    <row r="4" spans="2:6" ht="16.5" x14ac:dyDescent="0.3">
      <c r="B4" s="3">
        <v>1</v>
      </c>
      <c r="C4" s="3" t="s">
        <v>101</v>
      </c>
      <c r="D4" s="3" t="s">
        <v>106</v>
      </c>
      <c r="E4" s="23" t="s">
        <v>110</v>
      </c>
      <c r="F4" s="26" t="s">
        <v>102</v>
      </c>
    </row>
    <row r="5" spans="2:6" ht="16.5" x14ac:dyDescent="0.3">
      <c r="B5" s="3">
        <v>2</v>
      </c>
      <c r="C5" s="3" t="s">
        <v>103</v>
      </c>
      <c r="D5" s="3" t="s">
        <v>108</v>
      </c>
      <c r="E5" s="24"/>
      <c r="F5" s="27"/>
    </row>
    <row r="6" spans="2:6" ht="16.5" x14ac:dyDescent="0.3">
      <c r="B6" s="3">
        <v>3</v>
      </c>
      <c r="C6" s="3" t="s">
        <v>104</v>
      </c>
      <c r="D6" s="3" t="s">
        <v>107</v>
      </c>
      <c r="E6" s="24"/>
      <c r="F6" s="27"/>
    </row>
    <row r="7" spans="2:6" ht="16.5" x14ac:dyDescent="0.3">
      <c r="B7" s="3">
        <v>4</v>
      </c>
      <c r="C7" s="3" t="s">
        <v>105</v>
      </c>
      <c r="D7" s="3" t="s">
        <v>109</v>
      </c>
      <c r="E7" s="25"/>
      <c r="F7" s="28"/>
    </row>
  </sheetData>
  <mergeCells count="2">
    <mergeCell ref="E4:E7"/>
    <mergeCell ref="F4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工时估算</vt:lpstr>
      <vt:lpstr>工时估算 (AI)</vt:lpstr>
      <vt:lpstr>服务器报价估算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2026-05-14T10:03:15Z</dcterms:created>
  <dcterms:modified xsi:type="dcterms:W3CDTF">2026-05-14T11:36:57Z</dcterms:modified>
</cp:coreProperties>
</file>
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975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<sst xmlns="http://schemas.openxmlformats.org/spreadsheetml/2006/main" count="92" uniqueCount="54">
  <si>
    <t>报价单</t>
  </si>
  <si>
    <t>用户信息</t>
  </si>
  <si>
    <t>供应商信息</t>
  </si>
  <si>
    <t>部门</t>
  </si>
  <si>
    <t>供应商名称</t>
  </si>
  <si>
    <t>上海乐梵企业营销策划有限公司</t>
  </si>
  <si>
    <t>申请人</t>
  </si>
  <si>
    <t>联系人</t>
  </si>
  <si>
    <t>Rachel Gao</t>
  </si>
  <si>
    <t>联系电话</t>
  </si>
  <si>
    <t>邮箱</t>
  </si>
  <si>
    <t>rachel.gao@loffcomm7.com</t>
  </si>
  <si>
    <t>申请时间</t>
  </si>
  <si>
    <t>报价日期</t>
  </si>
  <si>
    <t>2026.04.20</t>
  </si>
  <si>
    <t>项目/活动名称</t>
  </si>
  <si>
    <t>渠道随行功能优化</t>
  </si>
  <si>
    <t>项目/活动时间（周期）</t>
  </si>
  <si>
    <t>项目/活动地点</t>
  </si>
  <si>
    <t>是否Involve IT</t>
  </si>
  <si>
    <t>是否涉及HCP或HCO</t>
  </si>
  <si>
    <t>报价汇总</t>
  </si>
  <si>
    <t>人民币不含税总计</t>
  </si>
  <si>
    <t>税费*</t>
  </si>
  <si>
    <t>含税人民币总计</t>
  </si>
  <si>
    <t>费率卡使用部分金额总计**</t>
  </si>
  <si>
    <t>费率卡使用比例</t>
  </si>
  <si>
    <t>Remark：</t>
  </si>
  <si>
    <t>* 税费不是6%的，请调整E栏的税费</t>
  </si>
  <si>
    <t>**费率卡使用金额总计为报价中所有费率卡价格的总价</t>
  </si>
  <si>
    <t>1. Digital Content</t>
  </si>
  <si>
    <t>人民币小计</t>
  </si>
  <si>
    <t>编号</t>
  </si>
  <si>
    <t>内容</t>
  </si>
  <si>
    <t>单价</t>
  </si>
  <si>
    <t>数量</t>
  </si>
  <si>
    <t>单位</t>
  </si>
  <si>
    <t>总金额</t>
  </si>
  <si>
    <t>备注</t>
  </si>
  <si>
    <t>费率卡</t>
  </si>
  <si>
    <t>2. Digital Technology</t>
  </si>
  <si>
    <t>人/天</t>
  </si>
  <si>
    <t>管理后台	
每个对话新增独立标签字段，仅"未完成/已完成"两态，不与系统会话流转状态关联；客服处理完毕手动改为已完成，作为内部待办清单使用</t>
  </si>
  <si>
    <t>低于费率卡</t>
  </si>
  <si>
    <t>用户端	
新增客服个人展示状态（如午休中、开会中、休假中），该状态仅前端展示给销售，与在线接单/消息分配规则解耦</t>
  </si>
  <si>
    <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按工作时间（09:00-17:30）自动切换客服在线/离线状态，非工作时间自动离线</t>
    </r>
  </si>
  <si>
    <t>用户端	
当前小程序端身份为咨询用户、PC后台为客服，需增加角色识别与客服账号绑定逻辑后，支持客服在手机端直接查看并修改自己的展示状态（高频场景）</t>
  </si>
  <si>
    <t>用户端	
客服未回复时销售端不允许主动关闭会话并评价，须客服至少回复一条消息后方可操作，避免客服未响应时产生无效差评</t>
  </si>
  <si>
    <t>用户端	
客服超过1分钟未响应时，系统自动向销售弹出提示消息，告知当前咨询量大请耐心等待，并引导关注企业微信后续回访</t>
  </si>
  <si>
    <t>管理后台	
自动回复按实际工作时段分割（工作时间外/午休等），明确告知回复延迟原因及后续跟进方式，改善中午咨询时预期不符问题</t>
  </si>
  <si>
    <t>其他	
系统测试		
集成测试、系统测试</t>
  </si>
  <si>
    <t>其他	
需求沟通		
沟通、需求文档</t>
  </si>
  <si>
    <t>其他	
验收发布		
项目验收和上线发布</t>
  </si>
  <si>
    <t>3. Others其他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</si>
</sst>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￥&quot;#,##0.00_);[Red]\(&quot;￥&quot;#,##0.00\)"/>
    <numFmt numFmtId="178" formatCode="#,##0_ "/>
  </numFmts>
  <fonts count="36">
    <font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b/>
      <sz val="16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theme="10"/>
      <name val="Arial"/>
      <charset val="134"/>
    </font>
    <font>
      <sz val="11"/>
      <color theme="1"/>
      <name val="宋体"/>
      <charset val="134"/>
    </font>
    <font>
      <b/>
      <sz val="12"/>
      <name val="Arial"/>
      <charset val="134"/>
    </font>
    <font>
      <b/>
      <i/>
      <sz val="11"/>
      <color theme="1"/>
      <name val="Arial"/>
      <charset val="134"/>
    </font>
    <font>
      <sz val="10"/>
      <color indexed="8"/>
      <name val="微软雅黑"/>
      <charset val="134"/>
    </font>
    <font>
      <sz val="11"/>
      <color theme="1"/>
      <name val="微软雅黑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6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21" applyNumberFormat="0" applyAlignment="0" applyProtection="0">
      <alignment vertical="center"/>
    </xf>
    <xf numFmtId="0" fontId="25" fillId="9" borderId="22" applyNumberFormat="0" applyAlignment="0" applyProtection="0">
      <alignment vertical="center"/>
    </xf>
    <xf numFmtId="0" fontId="26" fillId="9" borderId="21" applyNumberFormat="0" applyAlignment="0" applyProtection="0">
      <alignment vertical="center"/>
    </xf>
    <xf numFmtId="0" fontId="27" fillId="10" borderId="23" applyNumberFormat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5" fillId="0" borderId="0"/>
    <xf numFmtId="0" fontId="6" fillId="0" borderId="0"/>
    <xf numFmtId="0" fontId="6" fillId="0" borderId="0">
      <alignment vertical="center"/>
    </xf>
  </cellStyleXfs>
  <cellXfs count="5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51" applyFont="1" applyFill="1" applyBorder="1" applyAlignment="1">
      <alignment vertical="center"/>
    </xf>
    <xf numFmtId="0" fontId="1" fillId="2" borderId="2" xfId="51" applyFont="1" applyFill="1" applyBorder="1" applyAlignment="1">
      <alignment vertical="center"/>
    </xf>
    <xf numFmtId="0" fontId="3" fillId="0" borderId="0" xfId="5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3" fillId="2" borderId="4" xfId="51" applyFont="1" applyFill="1" applyBorder="1" applyAlignment="1">
      <alignment vertical="center"/>
    </xf>
    <xf numFmtId="0" fontId="4" fillId="2" borderId="5" xfId="51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/>
    <xf numFmtId="0" fontId="4" fillId="0" borderId="7" xfId="51" applyFont="1" applyBorder="1" applyAlignment="1">
      <alignment vertical="center"/>
    </xf>
    <xf numFmtId="0" fontId="5" fillId="2" borderId="8" xfId="51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51" applyFont="1" applyBorder="1" applyAlignment="1">
      <alignment vertical="center"/>
    </xf>
    <xf numFmtId="0" fontId="6" fillId="2" borderId="8" xfId="51" applyFill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7" fillId="2" borderId="9" xfId="6" applyFill="1" applyBorder="1" applyAlignment="1">
      <alignment horizontal="left" vertical="center"/>
    </xf>
    <xf numFmtId="0" fontId="8" fillId="0" borderId="6" xfId="6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" fillId="2" borderId="10" xfId="51" applyFont="1" applyFill="1" applyBorder="1" applyAlignment="1">
      <alignment vertical="center" wrapText="1"/>
    </xf>
    <xf numFmtId="0" fontId="1" fillId="0" borderId="11" xfId="51" applyFont="1" applyBorder="1" applyAlignment="1">
      <alignment horizontal="center" vertical="center"/>
    </xf>
    <xf numFmtId="0" fontId="0" fillId="0" borderId="1" xfId="0" applyBorder="1" applyAlignment="1"/>
    <xf numFmtId="0" fontId="0" fillId="0" borderId="12" xfId="0" applyBorder="1" applyAlignment="1"/>
    <xf numFmtId="0" fontId="3" fillId="3" borderId="13" xfId="0" applyFont="1" applyFill="1" applyBorder="1" applyAlignment="1">
      <alignment horizontal="left" vertical="center"/>
    </xf>
    <xf numFmtId="0" fontId="0" fillId="0" borderId="14" xfId="0" applyBorder="1" applyAlignment="1"/>
    <xf numFmtId="0" fontId="9" fillId="0" borderId="13" xfId="0" applyFont="1" applyBorder="1" applyAlignment="1">
      <alignment horizontal="left" vertical="center"/>
    </xf>
    <xf numFmtId="0" fontId="0" fillId="0" borderId="15" xfId="0" applyBorder="1" applyAlignment="1"/>
    <xf numFmtId="0" fontId="1" fillId="0" borderId="13" xfId="0" applyFont="1" applyBorder="1" applyAlignment="1">
      <alignment horizontal="left" vertical="center"/>
    </xf>
    <xf numFmtId="0" fontId="3" fillId="3" borderId="13" xfId="51" applyFont="1" applyFill="1" applyBorder="1" applyAlignment="1">
      <alignment horizontal="left" vertical="center"/>
    </xf>
    <xf numFmtId="0" fontId="10" fillId="4" borderId="13" xfId="49" applyFont="1" applyFill="1" applyBorder="1" applyAlignment="1">
      <alignment horizontal="center" vertical="center" wrapText="1"/>
    </xf>
    <xf numFmtId="0" fontId="10" fillId="0" borderId="13" xfId="49" applyFont="1" applyBorder="1" applyAlignment="1">
      <alignment horizontal="center" vertical="center" wrapText="1"/>
    </xf>
    <xf numFmtId="176" fontId="10" fillId="0" borderId="13" xfId="49" applyNumberFormat="1" applyFont="1" applyBorder="1" applyAlignment="1">
      <alignment horizontal="center" vertical="center" wrapText="1"/>
    </xf>
    <xf numFmtId="9" fontId="10" fillId="0" borderId="13" xfId="49" applyNumberFormat="1" applyFont="1" applyBorder="1" applyAlignment="1">
      <alignment vertical="center" wrapText="1"/>
    </xf>
    <xf numFmtId="9" fontId="10" fillId="0" borderId="13" xfId="3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1" xfId="0" applyBorder="1" applyAlignment="1"/>
    <xf numFmtId="0" fontId="11" fillId="5" borderId="13" xfId="0" applyFont="1" applyFill="1" applyBorder="1" applyAlignment="1">
      <alignment horizontal="center" vertical="center"/>
    </xf>
    <xf numFmtId="0" fontId="1" fillId="5" borderId="13" xfId="51" applyFont="1" applyFill="1" applyBorder="1" applyAlignment="1">
      <alignment horizontal="right" vertical="center"/>
    </xf>
    <xf numFmtId="0" fontId="1" fillId="5" borderId="13" xfId="51" applyFont="1" applyFill="1" applyBorder="1" applyAlignment="1">
      <alignment horizontal="center" vertical="center"/>
    </xf>
    <xf numFmtId="0" fontId="10" fillId="6" borderId="13" xfId="49" applyFont="1" applyFill="1" applyBorder="1" applyAlignment="1">
      <alignment horizontal="center" vertical="center" wrapText="1"/>
    </xf>
    <xf numFmtId="40" fontId="10" fillId="6" borderId="13" xfId="49" applyNumberFormat="1" applyFont="1" applyFill="1" applyBorder="1" applyAlignment="1">
      <alignment horizontal="center" vertical="center" wrapText="1"/>
    </xf>
    <xf numFmtId="38" fontId="10" fillId="6" borderId="13" xfId="49" applyNumberFormat="1" applyFont="1" applyFill="1" applyBorder="1" applyAlignment="1">
      <alignment horizontal="center" vertical="center" wrapText="1"/>
    </xf>
    <xf numFmtId="177" fontId="10" fillId="6" borderId="13" xfId="49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0" fontId="15" fillId="0" borderId="13" xfId="50" applyFont="1" applyBorder="1" applyAlignment="1">
      <alignment horizontal="left" vertical="center" wrapText="1"/>
    </xf>
    <xf numFmtId="178" fontId="16" fillId="0" borderId="17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a__x000a_NA_x000a__x000a_" xfId="49"/>
    <cellStyle name="Normal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chel.gao@loffcomm7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zoomScale="75" zoomScaleNormal="75" workbookViewId="0">
      <selection activeCell="A1" sqref="A1:I2"/>
    </sheetView>
  </sheetViews>
  <sheetFormatPr defaultColWidth="8.83333333333333" defaultRowHeight="14.25"/>
  <cols>
    <col min="1" max="1" width="12.1666666666667" style="1" customWidth="1"/>
    <col min="2" max="2" width="35.3333333333333" style="1" customWidth="1"/>
    <col min="3" max="3" width="10.5" style="1" customWidth="1"/>
    <col min="4" max="4" width="9.5" style="1" customWidth="1"/>
    <col min="5" max="5" width="9.83333333333333" style="1" customWidth="1"/>
    <col min="6" max="6" width="12.1666666666667" style="1" customWidth="1"/>
    <col min="7" max="7" width="9.66666666666667" style="1" customWidth="1"/>
    <col min="8" max="8" width="27.3333333333333" style="1" customWidth="1"/>
    <col min="9" max="9" width="11.3333333333333" style="1" customWidth="1"/>
    <col min="10" max="16384" width="8.83333333333333" style="1" customWidth="1"/>
  </cols>
  <sheetData>
    <row r="1" spans="1:9">
      <c r="A1" s="2" t="s">
        <v>0</v>
      </c>
    </row>
    <row r="4" ht="17" customHeight="1" spans="1:9">
      <c r="A4" s="3" t="s">
        <v>1</v>
      </c>
      <c r="B4" s="4"/>
      <c r="E4" s="5" t="s">
        <v>2</v>
      </c>
      <c r="F4" s="6"/>
      <c r="G4" s="7"/>
      <c r="H4" s="7"/>
      <c r="I4" s="8"/>
    </row>
    <row r="5" ht="15" spans="1:9">
      <c r="A5" s="9"/>
      <c r="B5" s="10"/>
      <c r="E5" s="9"/>
      <c r="F5" s="11"/>
      <c r="I5" s="12"/>
    </row>
    <row r="6" ht="17" customHeight="1" spans="1:9">
      <c r="A6" s="13" t="s">
        <v>3</v>
      </c>
      <c r="B6" s="14"/>
      <c r="E6" s="13" t="s">
        <v>4</v>
      </c>
      <c r="F6" s="15" t="s">
        <v>5</v>
      </c>
      <c r="I6" s="12"/>
    </row>
    <row r="7" ht="17" customHeight="1" spans="1:9">
      <c r="A7" s="16" t="s">
        <v>6</v>
      </c>
      <c r="B7" s="17"/>
      <c r="E7" s="16" t="s">
        <v>7</v>
      </c>
      <c r="F7" s="15" t="s">
        <v>8</v>
      </c>
      <c r="I7" s="12"/>
    </row>
    <row r="8" ht="17" customHeight="1" spans="1:9">
      <c r="A8" s="16" t="s">
        <v>9</v>
      </c>
      <c r="B8" s="17"/>
      <c r="E8" s="16" t="s">
        <v>9</v>
      </c>
      <c r="F8" s="15">
        <v>13761216899</v>
      </c>
      <c r="I8" s="12"/>
    </row>
    <row r="9" ht="17" customHeight="1" spans="1:9">
      <c r="A9" s="18" t="s">
        <v>10</v>
      </c>
      <c r="B9" s="19"/>
      <c r="E9" s="18" t="s">
        <v>10</v>
      </c>
      <c r="F9" s="20" t="s">
        <v>11</v>
      </c>
      <c r="I9" s="12"/>
    </row>
    <row r="10" ht="17" customHeight="1" spans="1:9">
      <c r="A10" s="18" t="s">
        <v>12</v>
      </c>
      <c r="B10" s="10"/>
      <c r="E10" s="16" t="s">
        <v>13</v>
      </c>
      <c r="F10" s="15" t="s">
        <v>14</v>
      </c>
      <c r="I10" s="12"/>
    </row>
    <row r="11" spans="1:9">
      <c r="A11" s="21"/>
      <c r="B11" s="22"/>
      <c r="C11" s="21"/>
      <c r="D11" s="21"/>
      <c r="E11" s="23"/>
      <c r="F11" s="24"/>
      <c r="G11" s="24"/>
      <c r="H11" s="24"/>
      <c r="I11" s="25"/>
    </row>
    <row r="13" ht="17" customHeight="1" spans="1:9">
      <c r="A13" s="26" t="s">
        <v>15</v>
      </c>
      <c r="B13" s="27"/>
      <c r="C13" s="28" t="s">
        <v>16</v>
      </c>
      <c r="D13" s="29"/>
      <c r="E13" s="29"/>
      <c r="F13" s="29"/>
      <c r="G13" s="29"/>
      <c r="H13" s="29"/>
      <c r="I13" s="27"/>
    </row>
    <row r="14" ht="17" customHeight="1" spans="1:9">
      <c r="A14" s="26" t="s">
        <v>17</v>
      </c>
      <c r="B14" s="27"/>
      <c r="C14" s="30"/>
      <c r="D14" s="29"/>
      <c r="E14" s="29"/>
      <c r="F14" s="29"/>
      <c r="G14" s="29"/>
      <c r="H14" s="29"/>
      <c r="I14" s="27"/>
    </row>
    <row r="15" ht="17" customHeight="1" spans="1:9">
      <c r="A15" s="31" t="s">
        <v>18</v>
      </c>
      <c r="B15" s="27"/>
      <c r="C15" s="30"/>
      <c r="D15" s="29"/>
      <c r="E15" s="29"/>
      <c r="F15" s="29"/>
      <c r="G15" s="29"/>
      <c r="H15" s="29"/>
      <c r="I15" s="27"/>
    </row>
    <row r="16" ht="17" customHeight="1" spans="1:9">
      <c r="A16" s="31" t="s">
        <v>19</v>
      </c>
      <c r="B16" s="27"/>
      <c r="C16" s="30"/>
      <c r="D16" s="29"/>
      <c r="E16" s="29"/>
      <c r="F16" s="29"/>
      <c r="G16" s="29"/>
      <c r="H16" s="29"/>
      <c r="I16" s="27"/>
    </row>
    <row r="17" ht="17" customHeight="1" spans="1:9">
      <c r="A17" s="31" t="s">
        <v>20</v>
      </c>
      <c r="B17" s="27"/>
      <c r="C17" s="30"/>
      <c r="D17" s="29"/>
      <c r="E17" s="29"/>
      <c r="F17" s="29"/>
      <c r="G17" s="29"/>
      <c r="H17" s="29"/>
      <c r="I17" s="27"/>
    </row>
    <row r="19" ht="16" customHeight="1" spans="1:9">
      <c r="A19" s="32" t="s">
        <v>21</v>
      </c>
      <c r="B19" s="29"/>
      <c r="C19" s="29"/>
      <c r="D19" s="29"/>
      <c r="E19" s="29"/>
      <c r="F19" s="29"/>
      <c r="G19" s="29"/>
      <c r="H19" s="29"/>
      <c r="I19" s="27"/>
    </row>
    <row r="20" ht="16" customHeight="1" spans="1:9">
      <c r="A20" s="33" t="s">
        <v>22</v>
      </c>
      <c r="B20" s="29"/>
      <c r="C20" s="29"/>
      <c r="D20" s="27"/>
      <c r="E20" s="34">
        <f>G29+G37+G51</f>
        <v>0</v>
      </c>
      <c r="F20" s="29"/>
      <c r="G20" s="29"/>
      <c r="H20" s="29"/>
      <c r="I20" s="27"/>
    </row>
    <row r="21" ht="16" customHeight="1" spans="1:9">
      <c r="A21" s="33" t="s">
        <v>23</v>
      </c>
      <c r="B21" s="29"/>
      <c r="C21" s="29"/>
      <c r="D21" s="27"/>
      <c r="E21" s="35">
        <v>0.06</v>
      </c>
      <c r="F21" s="33">
        <f>E20*E21</f>
        <v>0</v>
      </c>
      <c r="G21" s="29"/>
      <c r="H21" s="29"/>
      <c r="I21" s="27"/>
    </row>
    <row r="22" ht="16" customHeight="1" spans="1:9">
      <c r="A22" s="33" t="s">
        <v>24</v>
      </c>
      <c r="B22" s="29"/>
      <c r="C22" s="29"/>
      <c r="D22" s="27"/>
      <c r="E22" s="34">
        <f>E20+F21</f>
        <v>0</v>
      </c>
      <c r="F22" s="29"/>
      <c r="G22" s="29"/>
      <c r="H22" s="29"/>
      <c r="I22" s="27"/>
    </row>
    <row r="23" ht="16" customHeight="1" spans="1:9">
      <c r="A23" s="33" t="s">
        <v>25</v>
      </c>
      <c r="B23" s="29"/>
      <c r="C23" s="29"/>
      <c r="D23" s="27"/>
      <c r="E23" s="34">
        <f>E20</f>
        <v>0</v>
      </c>
      <c r="F23" s="29"/>
      <c r="G23" s="29"/>
      <c r="H23" s="29"/>
      <c r="I23" s="27"/>
    </row>
    <row r="24" ht="16" customHeight="1" spans="1:9">
      <c r="A24" s="33" t="s">
        <v>26</v>
      </c>
      <c r="B24" s="29"/>
      <c r="C24" s="29"/>
      <c r="D24" s="27"/>
      <c r="E24" s="36" t="e">
        <f>E23/E20</f>
        <v>#DIV/0!</v>
      </c>
      <c r="F24" s="29"/>
      <c r="G24" s="29"/>
      <c r="H24" s="29"/>
      <c r="I24" s="27"/>
    </row>
    <row r="26" ht="17" customHeight="1" spans="1:9">
      <c r="A26" s="37" t="s">
        <v>27</v>
      </c>
      <c r="B26" s="30" t="s">
        <v>28</v>
      </c>
      <c r="C26" s="29"/>
      <c r="D26" s="29"/>
      <c r="E26" s="29"/>
      <c r="F26" s="29"/>
      <c r="G26" s="29"/>
      <c r="H26" s="29"/>
      <c r="I26" s="27"/>
    </row>
    <row r="27" ht="17" customHeight="1" spans="1:9">
      <c r="A27" s="38"/>
      <c r="B27" s="30" t="s">
        <v>29</v>
      </c>
      <c r="C27" s="29"/>
      <c r="D27" s="29"/>
      <c r="E27" s="29"/>
      <c r="F27" s="29"/>
      <c r="G27" s="29"/>
      <c r="H27" s="29"/>
      <c r="I27" s="27"/>
    </row>
    <row r="29" ht="17" customHeight="1" spans="1:9">
      <c r="A29" s="39" t="s">
        <v>30</v>
      </c>
      <c r="B29" s="29"/>
      <c r="C29" s="27"/>
      <c r="D29" s="40" t="s">
        <v>31</v>
      </c>
      <c r="E29" s="29"/>
      <c r="F29" s="27"/>
      <c r="G29" s="41">
        <f>SUM(F31:F35)</f>
        <v>0</v>
      </c>
      <c r="H29" s="29"/>
      <c r="I29" s="27"/>
    </row>
    <row r="30" ht="19" customHeight="1" spans="1:9">
      <c r="A30" s="42" t="s">
        <v>32</v>
      </c>
      <c r="B30" s="42" t="s">
        <v>33</v>
      </c>
      <c r="C30" s="43" t="s">
        <v>34</v>
      </c>
      <c r="D30" s="44" t="s">
        <v>35</v>
      </c>
      <c r="E30" s="44" t="s">
        <v>36</v>
      </c>
      <c r="F30" s="43" t="s">
        <v>37</v>
      </c>
      <c r="G30" s="45" t="s">
        <v>38</v>
      </c>
      <c r="H30" s="27"/>
      <c r="I30" s="44" t="s">
        <v>39</v>
      </c>
    </row>
    <row r="31" ht="48" customHeight="1" spans="1:9">
      <c r="A31" s="46"/>
      <c r="B31" s="47"/>
      <c r="C31" s="46"/>
      <c r="D31" s="48"/>
      <c r="E31" s="46"/>
      <c r="F31" s="46"/>
      <c r="G31" s="49"/>
      <c r="H31" s="27"/>
      <c r="I31" s="50"/>
    </row>
    <row r="32" spans="1:9">
      <c r="A32" s="51"/>
      <c r="B32" s="46"/>
      <c r="C32" s="46"/>
      <c r="D32" s="46"/>
      <c r="E32" s="46"/>
      <c r="F32" s="46">
        <f>C32*D32</f>
        <v>0</v>
      </c>
      <c r="G32" s="37"/>
      <c r="H32" s="27"/>
      <c r="I32" s="52"/>
    </row>
    <row r="33" spans="1:9">
      <c r="A33" s="46"/>
      <c r="B33" s="46"/>
      <c r="C33" s="46"/>
      <c r="D33" s="46"/>
      <c r="E33" s="46"/>
      <c r="F33" s="46">
        <f>C33*D33</f>
        <v>0</v>
      </c>
      <c r="G33" s="37"/>
      <c r="H33" s="27"/>
      <c r="I33" s="46"/>
    </row>
    <row r="34" spans="1:9">
      <c r="A34" s="46"/>
      <c r="B34" s="46"/>
      <c r="C34" s="46"/>
      <c r="D34" s="46"/>
      <c r="E34" s="46"/>
      <c r="F34" s="46">
        <f>C34*D34</f>
        <v>0</v>
      </c>
      <c r="G34" s="37"/>
      <c r="H34" s="27"/>
      <c r="I34" s="46"/>
    </row>
    <row r="35" spans="1:9">
      <c r="A35" s="46"/>
      <c r="B35" s="46"/>
      <c r="C35" s="46"/>
      <c r="D35" s="46"/>
      <c r="E35" s="46"/>
      <c r="F35" s="46">
        <f>C35*D35</f>
        <v>0</v>
      </c>
      <c r="G35" s="37"/>
      <c r="H35" s="27"/>
      <c r="I35" s="46"/>
    </row>
    <row r="36" spans="1:9">
      <c r="G36" s="53"/>
      <c r="H36" s="53"/>
    </row>
    <row r="37" ht="17" customHeight="1" spans="1:9">
      <c r="A37" s="39" t="s">
        <v>40</v>
      </c>
      <c r="B37" s="29"/>
      <c r="C37" s="27"/>
      <c r="D37" s="40" t="s">
        <v>31</v>
      </c>
      <c r="E37" s="29"/>
      <c r="F37" s="27"/>
      <c r="G37" s="41">
        <f>SUM(F39:F49)</f>
        <v>0</v>
      </c>
      <c r="H37" s="29"/>
      <c r="I37" s="27"/>
    </row>
    <row r="38" ht="19" customHeight="1" spans="1:9">
      <c r="A38" s="42" t="s">
        <v>32</v>
      </c>
      <c r="B38" s="42" t="s">
        <v>33</v>
      </c>
      <c r="C38" s="43" t="s">
        <v>34</v>
      </c>
      <c r="D38" s="44" t="s">
        <v>35</v>
      </c>
      <c r="E38" s="44" t="s">
        <v>36</v>
      </c>
      <c r="F38" s="43" t="s">
        <v>37</v>
      </c>
      <c r="G38" s="45" t="s">
        <v>38</v>
      </c>
      <c r="H38" s="27"/>
      <c r="I38" s="44" t="s">
        <v>39</v>
      </c>
    </row>
    <row r="39" ht="82" customHeight="1" spans="1:9">
      <c r="A39" s="46">
        <v>1</v>
      </c>
      <c r="B39" s="47"/>
      <c r="C39" s="46"/>
      <c r="D39" s="48">
        <v>2</v>
      </c>
      <c r="E39" s="46" t="s">
        <v>41</v>
      </c>
      <c r="F39" s="46">
        <f t="shared" ref="F39:F48" si="0">C39*D39</f>
        <v>0</v>
      </c>
      <c r="G39" s="49" t="s">
        <v>42</v>
      </c>
      <c r="H39" s="27"/>
      <c r="I39" s="50" t="s">
        <v>43</v>
      </c>
    </row>
    <row r="40" ht="72" customHeight="1" spans="1:9">
      <c r="A40" s="46">
        <v>2</v>
      </c>
      <c r="B40" s="47"/>
      <c r="C40" s="46"/>
      <c r="D40" s="48">
        <v>5</v>
      </c>
      <c r="E40" s="46" t="s">
        <v>41</v>
      </c>
      <c r="F40" s="46">
        <f t="shared" si="0"/>
        <v>0</v>
      </c>
      <c r="G40" s="49" t="s">
        <v>44</v>
      </c>
      <c r="H40" s="27"/>
      <c r="I40" s="50" t="s">
        <v>43</v>
      </c>
    </row>
    <row r="41" ht="78" customHeight="1" spans="1:9">
      <c r="A41" s="46">
        <v>3</v>
      </c>
      <c r="B41" s="47"/>
      <c r="C41" s="46"/>
      <c r="D41" s="48">
        <v>4</v>
      </c>
      <c r="E41" s="46" t="s">
        <v>41</v>
      </c>
      <c r="F41" s="46">
        <f t="shared" si="0"/>
        <v>0</v>
      </c>
      <c r="G41" s="54" t="s">
        <v>45</v>
      </c>
      <c r="H41" s="27"/>
      <c r="I41" s="50" t="s">
        <v>43</v>
      </c>
    </row>
    <row r="42" ht="72" customHeight="1" spans="1:9">
      <c r="A42" s="46">
        <v>4</v>
      </c>
      <c r="B42" s="47"/>
      <c r="C42" s="46"/>
      <c r="D42" s="48">
        <v>2</v>
      </c>
      <c r="E42" s="46" t="s">
        <v>41</v>
      </c>
      <c r="F42" s="46">
        <f t="shared" si="0"/>
        <v>0</v>
      </c>
      <c r="G42" s="49" t="s">
        <v>46</v>
      </c>
      <c r="H42" s="27"/>
      <c r="I42" s="50" t="s">
        <v>43</v>
      </c>
    </row>
    <row r="43" ht="93" customHeight="1" spans="1:9">
      <c r="A43" s="46">
        <v>5</v>
      </c>
      <c r="B43" s="47"/>
      <c r="C43" s="46"/>
      <c r="D43" s="48">
        <v>3</v>
      </c>
      <c r="E43" s="46" t="s">
        <v>41</v>
      </c>
      <c r="F43" s="46">
        <f t="shared" si="0"/>
        <v>0</v>
      </c>
      <c r="G43" s="49" t="s">
        <v>47</v>
      </c>
      <c r="H43" s="27"/>
      <c r="I43" s="50" t="s">
        <v>43</v>
      </c>
    </row>
    <row r="44" ht="93" customHeight="1" spans="1:9">
      <c r="A44" s="46">
        <v>6</v>
      </c>
      <c r="B44" s="47"/>
      <c r="C44" s="46"/>
      <c r="D44" s="48">
        <v>3</v>
      </c>
      <c r="E44" s="46" t="s">
        <v>41</v>
      </c>
      <c r="F44" s="46">
        <f t="shared" si="0"/>
        <v>0</v>
      </c>
      <c r="G44" s="49" t="s">
        <v>48</v>
      </c>
      <c r="H44" s="27"/>
      <c r="I44" s="50" t="s">
        <v>43</v>
      </c>
    </row>
    <row r="45" ht="93" customHeight="1" spans="1:9">
      <c r="A45" s="46">
        <v>7</v>
      </c>
      <c r="B45" s="47"/>
      <c r="C45" s="46"/>
      <c r="D45" s="48">
        <v>3</v>
      </c>
      <c r="E45" s="46" t="s">
        <v>41</v>
      </c>
      <c r="F45" s="46">
        <f t="shared" si="0"/>
        <v>0</v>
      </c>
      <c r="G45" s="49" t="s">
        <v>49</v>
      </c>
      <c r="H45" s="27"/>
      <c r="I45" s="50" t="s">
        <v>43</v>
      </c>
    </row>
    <row r="46" ht="93" customHeight="1" spans="1:9">
      <c r="A46" s="46">
        <v>8</v>
      </c>
      <c r="B46" s="47"/>
      <c r="C46" s="46"/>
      <c r="D46" s="48">
        <v>4</v>
      </c>
      <c r="E46" s="46" t="s">
        <v>41</v>
      </c>
      <c r="F46" s="46">
        <f t="shared" si="0"/>
        <v>0</v>
      </c>
      <c r="G46" s="49" t="s">
        <v>50</v>
      </c>
      <c r="H46" s="27"/>
      <c r="I46" s="50" t="s">
        <v>43</v>
      </c>
    </row>
    <row r="47" ht="64" customHeight="1" spans="1:9">
      <c r="A47" s="46">
        <v>9</v>
      </c>
      <c r="B47" s="47"/>
      <c r="C47" s="46"/>
      <c r="D47" s="48">
        <v>1</v>
      </c>
      <c r="E47" s="46" t="s">
        <v>41</v>
      </c>
      <c r="F47" s="46">
        <f t="shared" si="0"/>
        <v>0</v>
      </c>
      <c r="G47" s="49" t="s">
        <v>51</v>
      </c>
      <c r="H47" s="27"/>
      <c r="I47" s="50" t="s">
        <v>43</v>
      </c>
    </row>
    <row r="48" ht="65" customHeight="1" spans="1:9">
      <c r="A48" s="46">
        <v>10</v>
      </c>
      <c r="B48" s="47"/>
      <c r="C48" s="46"/>
      <c r="D48" s="48">
        <v>1</v>
      </c>
      <c r="E48" s="46" t="s">
        <v>41</v>
      </c>
      <c r="F48" s="46">
        <f t="shared" si="0"/>
        <v>0</v>
      </c>
      <c r="G48" s="49" t="s">
        <v>52</v>
      </c>
      <c r="H48" s="27"/>
      <c r="I48" s="50" t="s">
        <v>43</v>
      </c>
    </row>
    <row r="49" ht="67" customHeight="1" spans="1:9">
      <c r="A49" s="46"/>
      <c r="B49" s="47"/>
      <c r="C49" s="46"/>
      <c r="D49" s="48"/>
      <c r="E49" s="46"/>
      <c r="F49" s="46"/>
      <c r="G49" s="49"/>
      <c r="H49" s="27"/>
      <c r="I49" s="50"/>
    </row>
    <row r="50" spans="1:9">
      <c r="A50" s="50"/>
      <c r="B50" s="55"/>
      <c r="C50" s="56"/>
      <c r="D50" s="57"/>
      <c r="E50" s="58"/>
      <c r="F50" s="58"/>
      <c r="G50" s="30"/>
      <c r="H50" s="27"/>
      <c r="I50" s="50"/>
    </row>
    <row r="51" spans="1:9">
      <c r="A51" s="46"/>
      <c r="B51" s="46"/>
      <c r="C51" s="46"/>
      <c r="D51" s="46"/>
      <c r="E51" s="46"/>
      <c r="F51" s="46"/>
      <c r="G51" s="37">
        <f>SUM(F53:F54)</f>
        <v>0</v>
      </c>
      <c r="H51" s="27"/>
      <c r="I51" s="46"/>
    </row>
    <row r="52" ht="17" customHeight="1" spans="1:9">
      <c r="A52" s="39" t="s">
        <v>53</v>
      </c>
      <c r="B52" s="29"/>
      <c r="C52" s="27"/>
      <c r="D52" s="40" t="s">
        <v>31</v>
      </c>
      <c r="E52" s="29"/>
      <c r="F52" s="27"/>
      <c r="G52" s="41">
        <f>SUM(F54:F55)</f>
        <v>0</v>
      </c>
      <c r="H52" s="29"/>
      <c r="I52" s="27"/>
    </row>
    <row r="53" ht="19" customHeight="1" spans="1:9">
      <c r="A53" s="42" t="s">
        <v>32</v>
      </c>
      <c r="B53" s="42" t="s">
        <v>33</v>
      </c>
      <c r="C53" s="43" t="s">
        <v>34</v>
      </c>
      <c r="D53" s="44" t="s">
        <v>35</v>
      </c>
      <c r="E53" s="44" t="s">
        <v>36</v>
      </c>
      <c r="F53" s="43" t="s">
        <v>37</v>
      </c>
      <c r="G53" s="45" t="s">
        <v>38</v>
      </c>
      <c r="H53" s="27"/>
      <c r="I53" s="44" t="s">
        <v>39</v>
      </c>
    </row>
    <row r="54" ht="25" customHeight="1" spans="1:9">
      <c r="A54" s="46"/>
      <c r="B54" s="46"/>
      <c r="C54" s="46"/>
      <c r="D54" s="46"/>
      <c r="E54" s="46"/>
      <c r="F54" s="46">
        <f>C54*D54</f>
        <v>0</v>
      </c>
      <c r="G54" s="37"/>
      <c r="H54" s="27"/>
      <c r="I54" s="50"/>
    </row>
    <row r="55" ht="25" customHeight="1" spans="1:9">
      <c r="A55" s="46"/>
      <c r="B55" s="46"/>
      <c r="C55" s="46"/>
      <c r="D55" s="46"/>
      <c r="E55" s="46"/>
      <c r="F55" s="46">
        <f>C55*D55</f>
        <v>0</v>
      </c>
      <c r="G55" s="37"/>
      <c r="H55" s="27"/>
      <c r="I55" s="46"/>
    </row>
  </sheetData>
  <mergeCells count="65">
    <mergeCell ref="F4:I4"/>
    <mergeCell ref="F5:I5"/>
    <mergeCell ref="F6:I6"/>
    <mergeCell ref="F7:I7"/>
    <mergeCell ref="F8:I8"/>
    <mergeCell ref="F9:I9"/>
    <mergeCell ref="F10:I10"/>
    <mergeCell ref="E11:I11"/>
    <mergeCell ref="A13:B13"/>
    <mergeCell ref="C13:I13"/>
    <mergeCell ref="A14:B14"/>
    <mergeCell ref="C14:I14"/>
    <mergeCell ref="A15:B15"/>
    <mergeCell ref="C15:I15"/>
    <mergeCell ref="A16:B16"/>
    <mergeCell ref="C16:I16"/>
    <mergeCell ref="A17:B17"/>
    <mergeCell ref="C17:I17"/>
    <mergeCell ref="A19:I19"/>
    <mergeCell ref="A20:D20"/>
    <mergeCell ref="E20:I20"/>
    <mergeCell ref="A21:D21"/>
    <mergeCell ref="F21:I21"/>
    <mergeCell ref="A22:D22"/>
    <mergeCell ref="E22:I22"/>
    <mergeCell ref="A23:D23"/>
    <mergeCell ref="E23:I23"/>
    <mergeCell ref="A24:D24"/>
    <mergeCell ref="E24:I24"/>
    <mergeCell ref="B26:I26"/>
    <mergeCell ref="B27:I27"/>
    <mergeCell ref="A29:C29"/>
    <mergeCell ref="D29:F29"/>
    <mergeCell ref="G29:I29"/>
    <mergeCell ref="G30:H30"/>
    <mergeCell ref="G31:H31"/>
    <mergeCell ref="G32:H32"/>
    <mergeCell ref="G33:H33"/>
    <mergeCell ref="G34:H34"/>
    <mergeCell ref="G35:H35"/>
    <mergeCell ref="A37:C37"/>
    <mergeCell ref="D37:F37"/>
    <mergeCell ref="G37:I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A52:C52"/>
    <mergeCell ref="D52:F52"/>
    <mergeCell ref="G52:I52"/>
    <mergeCell ref="G53:H53"/>
    <mergeCell ref="G54:H54"/>
    <mergeCell ref="G55:H55"/>
    <mergeCell ref="A26:A27"/>
    <mergeCell ref="A1:I2"/>
  </mergeCells>
  <hyperlinks>
    <hyperlink ref="F9" r:id="rId1" display="rachel.gao@loffcomm7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Jessie [SH12]</dc:creator>
  <cp:lastModifiedBy>ｍｉｎｇ</cp:lastModifiedBy>
  <dcterms:created xsi:type="dcterms:W3CDTF">2021-06-16T08:08:00Z</dcterms:created>
  <dcterms:modified xsi:type="dcterms:W3CDTF">2026-09-16T04:47:15Z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BFFEEED9589DDA58A9212666C3290C6C_43</vt:lpwstr>
  </property>
  <property fmtid="{D5CDD505-2E9C-101B-9397-08002B2CF9AE}" pid="4" name="CalculationRule">
    <vt:i4>0</vt:i4>
  </property>
</Properties>
</file>
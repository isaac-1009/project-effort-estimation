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gaoming\workspace\project-effort-estimation\data\current\ai-xiaozhi\"/>
    </mc:Choice>
  </mc:AlternateContent>
  <bookViews>
    <workbookView windowWidth="28800" windowHeight="12255"/>
  </bookViews>
  <sheets>
    <sheet name="工时估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<sst xmlns="http://schemas.openxmlformats.org/spreadsheetml/2006/main" count="148" uniqueCount="111">
  <si>
    <t>#</t>
  </si>
  <si>
    <t>模块</t>
  </si>
  <si>
    <t>功能</t>
  </si>
  <si>
    <t>需求类型</t>
  </si>
  <si>
    <t>描述</t>
  </si>
  <si>
    <t>系统</t>
  </si>
  <si>
    <t>工时(人天)</t>
  </si>
  <si>
    <t>备注</t>
  </si>
  <si>
    <t>阶段一：基础问答</t>
  </si>
  <si>
    <t>LLM技术选型</t>
  </si>
  <si>
    <t>新功能</t>
  </si>
  <si>
    <t>框架选型（Spring AI vs LangChain4j）与LLM供应商选型（能力/价格/多模态支持对比）、流式spike验证</t>
  </si>
  <si>
    <t>服务端</t>
  </si>
  <si>
    <t>框架对比、候选LLM调研（含多模态能力评估）、流式spike、验证与选型报告</t>
  </si>
  <si>
    <t>多模态可选技术集成（文档/图片/音频/视频）</t>
  </si>
  <si>
    <t>可选模块：若所选LLM支持多模态，问答支持文档/图片/音频/视频上传；依赖LLM技术选型结论，不支持时此模块裁剪</t>
  </si>
  <si>
    <t>H5前端</t>
  </si>
  <si>
    <t>React多类型文件上传组件、预览与消息气泡展示；</t>
  </si>
  <si>
    <t>多模态消息适配（base64/URL传LLM）、类型与大小限制；含真实LLM链路自测（含设计）</t>
  </si>
  <si>
    <t>第三方LLM接入</t>
  </si>
  <si>
    <t>OpenAI兼容接口封装、模型路由、超时重试与降级</t>
  </si>
  <si>
    <t>ChatClient封装/密钥管理/重试降级/流式适配；含实现设计与真实链路自测</t>
  </si>
  <si>
    <t>自建企微H5对话页</t>
  </si>
  <si>
    <t>React聊天界面：流式渲染、历史会话列表、输入区与消息状态；配套非流式REST接口（会话列表/历史消息分页）</t>
  </si>
  <si>
    <t>React组件、流式打字机+markdown渲染、会话抽屉；复用现有组件库；含企微真机自测（OAuth免登/样式适配）</t>
  </si>
  <si>
    <t>会话列表/历史消息分页REST接口（PG）</t>
  </si>
  <si>
    <t>SSE消息收发通道</t>
  </si>
  <si>
    <t>服务端推送、断线重连、消息持久化落RDS PG（多轮会话上下文由PG消息历史组装，不引入Redis）</t>
  </si>
  <si>
    <t>环境搭建：SLB关缓冲、timeout、长连接验证；
推送实现：SseEmitter推送/心跳/消息落库PG/上下文组装（含设计）；含流式链路自测</t>
  </si>
  <si>
    <t>EventSource接入、断线重连、消息状态展示</t>
  </si>
  <si>
    <t>基础问答编排与拒答策略</t>
  </si>
  <si>
    <t>Prompt编排、拒答与引导话术（不瞎编）</t>
  </si>
  <si>
    <t>Prompt编排与拒答实现（含设计与基础调试）</t>
  </si>
  <si>
    <t>热点问题配置</t>
  </si>
  <si>
    <t>管理员维护热点/常见问题，前端快捷入口数据源</t>
  </si>
  <si>
    <t>PC后台前端</t>
  </si>
  <si>
    <t>热点问题维护页</t>
  </si>
  <si>
    <t>配置CRUD、排序与生效（含设计）；</t>
  </si>
  <si>
    <t>后台提示词配置</t>
  </si>
  <si>
    <t>管理员在线配置系统提示词模板，版本管理与生效机制</t>
  </si>
  <si>
    <t>提示词模板编辑页</t>
  </si>
  <si>
    <t>模板管理、版本与动态生效（含设计）；</t>
  </si>
  <si>
    <t>大模型更换配置</t>
  </si>
  <si>
    <t>管理员配置LLM供应商（base_url/模型名/密钥），动态切换生效</t>
  </si>
  <si>
    <t>模型配置页</t>
  </si>
  <si>
    <t>多供应商配置管理、动态切换生效、连通性校验（含设计）；</t>
  </si>
  <si>
    <t>聊天记录导出与对话统计</t>
  </si>
  <si>
    <t>记录查询/导出、对话量与命中率统计（管理员视角）</t>
  </si>
  <si>
    <t>记录列表/统计页，复用后台框架与图表组件；含导出口径核对</t>
  </si>
  <si>
    <t>记录查询/导出接口、统计聚合（含设计）</t>
  </si>
  <si>
    <t>新服务部署</t>
  </si>
  <si>
    <t>独立服务首次部署：CI/CD流水线、Docker镜像、多环境配置、网关路由</t>
  </si>
  <si>
    <t>流水线+镜像+dev/test/prod配置+内存limit；含环境部署与LB路由验证</t>
  </si>
  <si>
    <t>阶段二：知识增强RAG</t>
  </si>
  <si>
    <t>知识库技术选型</t>
  </si>
  <si>
    <t>开源一体化方案（Dify/FastGPT/RAGFlow/MaxKB）vs 自研pgvector 路线调研与POC；若选开源路线，阶段二后续项工时需按所选平台重新评估</t>
  </si>
  <si>
    <t>开源项目调研与POC（成本/扩展性/安全对比），输出选型结论</t>
  </si>
  <si>
    <t>文档上传解析与分块</t>
  </si>
  <si>
    <t>多格式文档解析（Word/PDF/MD）、分块策略</t>
  </si>
  <si>
    <t>上传交互组件，复用现有上传能力</t>
  </si>
  <si>
    <t>解析（Apache POI/pdfbox）、分块（段落+重叠窗口）（含设计）；含多格式样本自测</t>
  </si>
  <si>
    <t>数据清洗</t>
  </si>
  <si>
    <t>清洗规则引擎与批量验证；前提：首批数十~数百份文本型文档，扫描件OCR另立项</t>
  </si>
  <si>
    <t>规则引擎，策略配置，参数调试</t>
  </si>
  <si>
    <t>pgvector向量库设计与开通</t>
  </si>
  <si>
    <t>复用阿里云 RDS PostgreSQL 18.1：pgvector扩展开通、表结构与HNSW索引设计、备份策略；零新增服务器</t>
  </si>
  <si>
    <t>扩展开通、表/索引设计、备份与容量评估</t>
  </si>
  <si>
    <t>向量化与检索服务</t>
  </si>
  <si>
    <t>Embedding服务（批处理与增量更新）、pgvector混合检索（向量+PG全文RRF融合）</t>
  </si>
  <si>
    <t>Embedding批处理与增量更新；
混合检索接口（PgVectorStore/TopK/RRF融合）；含命中率抽样自测</t>
  </si>
  <si>
    <t>重排与RAG编排</t>
  </si>
  <si>
    <t>检索→重排→组装→生成链路编排（Spring AI Advisor链骨架）、Rerank接入、引用溯源</t>
  </si>
  <si>
    <t>链路编排；Rerank接入；引用溯源标注；含端到端链路自测</t>
  </si>
  <si>
    <t>知识库管理后台</t>
  </si>
  <si>
    <t>文档上传/分类/版本管理、知识更新与权限</t>
  </si>
  <si>
    <t>文档列表/分类/版本页面；含全流程操作自测</t>
  </si>
  <si>
    <t>知识库CRUD、版本管理、重建索引触发（含设计）；含上传→解析→清洗→向量化→生效链路自测</t>
  </si>
  <si>
    <t>知识问答效果调优</t>
  </si>
  <si>
    <t>召回评测、badcase分析、参数调优</t>
  </si>
  <si>
    <t>评测集建设、badcase分析、分块/TopK/Prompt调优；含与业务方验收效果验证</t>
  </si>
  <si>
    <t>试运行反馈调试调优</t>
  </si>
  <si>
    <t>灰度试运行期badcase跟进、检索/分块/Prompt参数迭代修正</t>
  </si>
  <si>
    <t>试运行反馈收集、badcase复现与验证、参数与Prompt迭代</t>
  </si>
  <si>
    <t>阶段三：数据与办事</t>
  </si>
  <si>
    <t>DB定义解析</t>
  </si>
  <si>
    <t>Facility业务库表结构梳理、数据字典与敏感字段识别（为查询工具/行级鉴权/审计提供依据）</t>
  </si>
  <si>
    <t>表结构梳理、数据字典、敏感字段清单（71张表）</t>
  </si>
  <si>
    <t>企微身份绑定与统一鉴权框架</t>
  </si>
  <si>
    <t>企微工号绑定、JWT统一鉴权体系（与主系统同源）</t>
  </si>
  <si>
    <t>静默OAuth免登、绑定状态提示</t>
  </si>
  <si>
    <t>userid↔工号绑定、JWT鉴权中间件（含设计）；含企微环境身份链路自测</t>
  </si>
  <si>
    <t>Facility数据API实时查询工具</t>
  </si>
  <si>
    <t>我的工单、我的停车资格、我的申请进度等实时查询（Function Calling）；行级过滤由主应用内部API承担</t>
  </si>
  <si>
    <t>回答内嵌结构化数据卡片展示</t>
  </si>
  <si>
    <t>Spring AI Tool Calling工具开发、结果结构化（含设计）；暂定对接Facility查询接口</t>
  </si>
  <si>
    <t>行级数据鉴权/字段脱敏/查询审计</t>
  </si>
  <si>
    <t>员工只能查自己的数据、敏感字段脱敏、查询留审计</t>
  </si>
  <si>
    <t>行级权限（按登录人过滤）、手机号/证件号脱敏、审计日志（含设计）；含越权与脱敏用例自测</t>
  </si>
  <si>
    <t>白名单机制与白名单内操作（提交报修）</t>
  </si>
  <si>
    <t>操作白名单、二次确认、提交报修闭环；高风险操作（审批类）永不开放</t>
  </si>
  <si>
    <t>二次确认弹窗、报修表单唤起与回执展示</t>
  </si>
  <si>
    <t>白名单配置、确认令牌机制、报修提交（复用工单接口）（含设计）；含对话→确认→落库全链路自测</t>
  </si>
  <si>
    <t>注入防护与安全加固</t>
  </si>
  <si>
    <t>Prompt注入防护、敏感词与输出过滤</t>
  </si>
  <si>
    <t>输入指令隔离、敏感词库、输出内容过滤（含设计）；含注入攻击样本自测</t>
  </si>
  <si>
    <t>整体联调试运行</t>
  </si>
  <si>
    <t>三阶段集成回归、灰度试运行跟进与试运行期调优修正</t>
  </si>
  <si>
    <t>集成回归、灰度试运行跟进；
查询/权限/白名单调优修正；反馈复现与修复验证；</t>
  </si>
  <si>
    <t>功能测试</t>
  </si>
  <si>
    <t>-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</si>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</sst>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abSelected="1" workbookViewId="0">
      <pane ySplit="1" topLeftCell="A2" activePane="bottomLeft" state="frozen"/>
      <selection/>
      <selection pane="bottomLeft" activeCell="J6" sqref="J6"/>
    </sheetView>
  </sheetViews>
  <sheetFormatPr defaultColWidth="9" defaultRowHeight="13.5" outlineLevelCol="7"/>
  <cols>
    <col min="1" max="1" width="5.70833333333333" customWidth="1"/>
    <col min="2" max="2" width="15.7083333333333" customWidth="1"/>
    <col min="3" max="3" width="30.7083333333333" customWidth="1"/>
    <col min="4" max="4" width="10.7083333333333" customWidth="1"/>
    <col min="5" max="5" width="40.7083333333333" customWidth="1"/>
    <col min="6" max="6" width="10.7083333333333" customWidth="1"/>
    <col min="7" max="7" width="12.7083333333333" customWidth="1"/>
    <col min="8" max="8" width="30.708333333333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.5" spans="1:8">
      <c r="A2" s="2">
        <v>1</v>
      </c>
      <c r="B2" s="2" t="s">
        <v>8</v>
      </c>
      <c r="C2" s="3" t="s">
        <v>9</v>
      </c>
      <c r="D2" s="2" t="s">
        <v>10</v>
      </c>
      <c r="E2" s="3" t="s">
        <v>11</v>
      </c>
      <c r="F2" s="4" t="s">
        <v>12</v>
      </c>
      <c r="G2" s="5">
        <v>3</v>
      </c>
      <c r="H2" s="3" t="s">
        <v>13</v>
      </c>
    </row>
    <row r="3" ht="27" spans="1:8">
      <c r="A3" s="2">
        <v>2</v>
      </c>
      <c r="B3" s="2"/>
      <c r="C3" s="3" t="s">
        <v>14</v>
      </c>
      <c r="D3" s="2"/>
      <c r="E3" s="3" t="s">
        <v>15</v>
      </c>
      <c r="F3" s="4" t="s">
        <v>16</v>
      </c>
      <c r="G3" s="5">
        <v>2.5</v>
      </c>
      <c r="H3" s="3" t="s">
        <v>17</v>
      </c>
    </row>
    <row r="4" ht="40.5" spans="1:8">
      <c r="A4" s="2"/>
      <c r="B4" s="2"/>
      <c r="C4" s="3"/>
      <c r="D4" s="2"/>
      <c r="E4" s="3"/>
      <c r="F4" s="4" t="s">
        <v>12</v>
      </c>
      <c r="G4" s="5">
        <v>5</v>
      </c>
      <c r="H4" s="3" t="s">
        <v>18</v>
      </c>
    </row>
    <row r="5" ht="40.5" spans="1:8">
      <c r="A5" s="2">
        <v>3</v>
      </c>
      <c r="B5" s="2"/>
      <c r="C5" s="3" t="s">
        <v>19</v>
      </c>
      <c r="D5" s="2"/>
      <c r="E5" s="3" t="s">
        <v>20</v>
      </c>
      <c r="F5" s="4" t="s">
        <v>12</v>
      </c>
      <c r="G5" s="5">
        <v>4</v>
      </c>
      <c r="H5" s="3" t="s">
        <v>21</v>
      </c>
    </row>
    <row r="6" ht="54" spans="1:8">
      <c r="A6" s="2">
        <v>4</v>
      </c>
      <c r="B6" s="2"/>
      <c r="C6" s="3" t="s">
        <v>22</v>
      </c>
      <c r="D6" s="2"/>
      <c r="E6" s="3" t="s">
        <v>23</v>
      </c>
      <c r="F6" s="4" t="s">
        <v>16</v>
      </c>
      <c r="G6" s="5">
        <v>5</v>
      </c>
      <c r="H6" s="3" t="s">
        <v>24</v>
      </c>
    </row>
    <row r="7" ht="27" spans="1:8">
      <c r="A7" s="2"/>
      <c r="B7" s="2"/>
      <c r="C7" s="3"/>
      <c r="D7" s="2"/>
      <c r="E7" s="3"/>
      <c r="F7" s="4" t="s">
        <v>12</v>
      </c>
      <c r="G7" s="5">
        <v>3</v>
      </c>
      <c r="H7" s="3" t="s">
        <v>25</v>
      </c>
    </row>
    <row r="8" ht="67.5" spans="1:8">
      <c r="A8" s="2">
        <v>5</v>
      </c>
      <c r="B8" s="2"/>
      <c r="C8" s="3" t="s">
        <v>26</v>
      </c>
      <c r="D8" s="2"/>
      <c r="E8" s="3" t="s">
        <v>27</v>
      </c>
      <c r="F8" s="4" t="s">
        <v>12</v>
      </c>
      <c r="G8" s="5">
        <v>4</v>
      </c>
      <c r="H8" s="3" t="s">
        <v>28</v>
      </c>
    </row>
    <row r="9" ht="27" spans="1:8">
      <c r="A9" s="2"/>
      <c r="B9" s="2"/>
      <c r="C9" s="3"/>
      <c r="D9" s="2"/>
      <c r="E9" s="3"/>
      <c r="F9" s="4" t="s">
        <v>16</v>
      </c>
      <c r="G9" s="5">
        <v>2</v>
      </c>
      <c r="H9" s="3" t="s">
        <v>29</v>
      </c>
    </row>
    <row r="10" ht="27" spans="1:8">
      <c r="A10" s="2">
        <v>6</v>
      </c>
      <c r="B10" s="2"/>
      <c r="C10" s="3" t="s">
        <v>30</v>
      </c>
      <c r="D10" s="2"/>
      <c r="E10" s="3" t="s">
        <v>31</v>
      </c>
      <c r="F10" s="4" t="s">
        <v>12</v>
      </c>
      <c r="G10" s="5">
        <v>5</v>
      </c>
      <c r="H10" s="3" t="s">
        <v>32</v>
      </c>
    </row>
    <row r="11" spans="1:8">
      <c r="A11" s="2">
        <v>7</v>
      </c>
      <c r="B11" s="2"/>
      <c r="C11" s="3" t="s">
        <v>33</v>
      </c>
      <c r="D11" s="2"/>
      <c r="E11" s="3" t="s">
        <v>34</v>
      </c>
      <c r="F11" s="4" t="s">
        <v>35</v>
      </c>
      <c r="G11" s="5">
        <v>1</v>
      </c>
      <c r="H11" s="3" t="s">
        <v>36</v>
      </c>
    </row>
    <row r="12" ht="27" spans="1:8">
      <c r="A12" s="2"/>
      <c r="B12" s="2"/>
      <c r="C12" s="3"/>
      <c r="D12" s="2"/>
      <c r="E12" s="3"/>
      <c r="F12" s="4" t="s">
        <v>12</v>
      </c>
      <c r="G12" s="5">
        <v>2</v>
      </c>
      <c r="H12" s="3" t="s">
        <v>37</v>
      </c>
    </row>
    <row r="13" spans="1:8">
      <c r="A13" s="2">
        <v>8</v>
      </c>
      <c r="B13" s="2"/>
      <c r="C13" s="3" t="s">
        <v>38</v>
      </c>
      <c r="D13" s="2"/>
      <c r="E13" s="3" t="s">
        <v>39</v>
      </c>
      <c r="F13" s="4" t="s">
        <v>35</v>
      </c>
      <c r="G13" s="5">
        <v>1</v>
      </c>
      <c r="H13" s="3" t="s">
        <v>40</v>
      </c>
    </row>
    <row r="14" ht="27" spans="1:8">
      <c r="A14" s="2"/>
      <c r="B14" s="2"/>
      <c r="C14" s="3"/>
      <c r="D14" s="2"/>
      <c r="E14" s="3"/>
      <c r="F14" s="4" t="s">
        <v>12</v>
      </c>
      <c r="G14" s="5">
        <v>2</v>
      </c>
      <c r="H14" s="3" t="s">
        <v>41</v>
      </c>
    </row>
    <row r="15" spans="1:8">
      <c r="A15" s="2">
        <v>9</v>
      </c>
      <c r="B15" s="2"/>
      <c r="C15" s="3" t="s">
        <v>42</v>
      </c>
      <c r="D15" s="2"/>
      <c r="E15" s="3" t="s">
        <v>43</v>
      </c>
      <c r="F15" s="4" t="s">
        <v>35</v>
      </c>
      <c r="G15" s="5">
        <v>1</v>
      </c>
      <c r="H15" s="3" t="s">
        <v>44</v>
      </c>
    </row>
    <row r="16" ht="27" spans="1:8">
      <c r="A16" s="2"/>
      <c r="B16" s="2"/>
      <c r="C16" s="3"/>
      <c r="D16" s="2"/>
      <c r="E16" s="3"/>
      <c r="F16" s="4" t="s">
        <v>12</v>
      </c>
      <c r="G16" s="5">
        <v>2</v>
      </c>
      <c r="H16" s="3" t="s">
        <v>45</v>
      </c>
    </row>
    <row r="17" ht="27" spans="1:8">
      <c r="A17" s="2">
        <v>10</v>
      </c>
      <c r="B17" s="2"/>
      <c r="C17" s="3" t="s">
        <v>46</v>
      </c>
      <c r="D17" s="2"/>
      <c r="E17" s="3" t="s">
        <v>47</v>
      </c>
      <c r="F17" s="4" t="s">
        <v>35</v>
      </c>
      <c r="G17" s="5">
        <v>2</v>
      </c>
      <c r="H17" s="3" t="s">
        <v>48</v>
      </c>
    </row>
    <row r="18" ht="27" spans="1:8">
      <c r="A18" s="2"/>
      <c r="B18" s="2"/>
      <c r="C18" s="3"/>
      <c r="D18" s="2"/>
      <c r="E18" s="3"/>
      <c r="F18" s="4" t="s">
        <v>12</v>
      </c>
      <c r="G18" s="5">
        <v>3</v>
      </c>
      <c r="H18" s="3" t="s">
        <v>49</v>
      </c>
    </row>
    <row r="19" ht="40.5" spans="1:8">
      <c r="A19" s="2">
        <v>11</v>
      </c>
      <c r="B19" s="2"/>
      <c r="C19" s="3" t="s">
        <v>50</v>
      </c>
      <c r="D19" s="2"/>
      <c r="E19" s="3" t="s">
        <v>51</v>
      </c>
      <c r="F19" s="4" t="s">
        <v>12</v>
      </c>
      <c r="G19" s="5">
        <v>2</v>
      </c>
      <c r="H19" s="3" t="s">
        <v>52</v>
      </c>
    </row>
    <row r="20" ht="54" spans="1:8">
      <c r="A20" s="2">
        <v>12</v>
      </c>
      <c r="B20" s="2" t="s">
        <v>53</v>
      </c>
      <c r="C20" s="3" t="s">
        <v>54</v>
      </c>
      <c r="D20" s="2"/>
      <c r="E20" s="3" t="s">
        <v>55</v>
      </c>
      <c r="F20" s="4" t="s">
        <v>12</v>
      </c>
      <c r="G20" s="5">
        <v>3</v>
      </c>
      <c r="H20" s="3" t="s">
        <v>56</v>
      </c>
    </row>
    <row r="21" spans="1:8">
      <c r="A21" s="2">
        <v>13</v>
      </c>
      <c r="B21" s="2"/>
      <c r="C21" s="3" t="s">
        <v>57</v>
      </c>
      <c r="D21" s="2"/>
      <c r="E21" s="3" t="s">
        <v>58</v>
      </c>
      <c r="F21" s="4" t="s">
        <v>35</v>
      </c>
      <c r="G21" s="5">
        <v>1</v>
      </c>
      <c r="H21" s="3" t="s">
        <v>59</v>
      </c>
    </row>
    <row r="22" ht="40.5" spans="1:8">
      <c r="A22" s="2"/>
      <c r="B22" s="2"/>
      <c r="C22" s="3"/>
      <c r="D22" s="2"/>
      <c r="E22" s="3"/>
      <c r="F22" s="4" t="s">
        <v>12</v>
      </c>
      <c r="G22" s="5">
        <v>3</v>
      </c>
      <c r="H22" s="3" t="s">
        <v>60</v>
      </c>
    </row>
    <row r="23" ht="27" spans="1:8">
      <c r="A23" s="2">
        <v>14</v>
      </c>
      <c r="B23" s="2"/>
      <c r="C23" s="3" t="s">
        <v>61</v>
      </c>
      <c r="D23" s="2"/>
      <c r="E23" s="3" t="s">
        <v>62</v>
      </c>
      <c r="F23" s="4" t="s">
        <v>12</v>
      </c>
      <c r="G23" s="5">
        <v>4</v>
      </c>
      <c r="H23" s="3" t="s">
        <v>63</v>
      </c>
    </row>
    <row r="24" ht="40.5" spans="1:8">
      <c r="A24" s="2">
        <v>15</v>
      </c>
      <c r="B24" s="2"/>
      <c r="C24" s="3" t="s">
        <v>64</v>
      </c>
      <c r="D24" s="2"/>
      <c r="E24" s="3" t="s">
        <v>65</v>
      </c>
      <c r="F24" s="4" t="s">
        <v>12</v>
      </c>
      <c r="G24" s="5">
        <v>2</v>
      </c>
      <c r="H24" s="3" t="s">
        <v>66</v>
      </c>
    </row>
    <row r="25" ht="54" spans="1:8">
      <c r="A25" s="2">
        <v>16</v>
      </c>
      <c r="B25" s="2"/>
      <c r="C25" s="3" t="s">
        <v>67</v>
      </c>
      <c r="D25" s="2"/>
      <c r="E25" s="3" t="s">
        <v>68</v>
      </c>
      <c r="F25" s="4" t="s">
        <v>12</v>
      </c>
      <c r="G25" s="5">
        <v>4</v>
      </c>
      <c r="H25" s="3" t="s">
        <v>69</v>
      </c>
    </row>
    <row r="26" ht="27" spans="1:8">
      <c r="A26" s="2">
        <v>17</v>
      </c>
      <c r="B26" s="2"/>
      <c r="C26" s="3" t="s">
        <v>70</v>
      </c>
      <c r="D26" s="2"/>
      <c r="E26" s="3" t="s">
        <v>71</v>
      </c>
      <c r="F26" s="4" t="s">
        <v>12</v>
      </c>
      <c r="G26" s="5">
        <v>5</v>
      </c>
      <c r="H26" s="3" t="s">
        <v>72</v>
      </c>
    </row>
    <row r="27" ht="27" spans="1:8">
      <c r="A27" s="2">
        <v>18</v>
      </c>
      <c r="B27" s="2"/>
      <c r="C27" s="3" t="s">
        <v>73</v>
      </c>
      <c r="D27" s="2"/>
      <c r="E27" s="3" t="s">
        <v>74</v>
      </c>
      <c r="F27" s="4" t="s">
        <v>35</v>
      </c>
      <c r="G27" s="5">
        <v>2</v>
      </c>
      <c r="H27" s="3" t="s">
        <v>75</v>
      </c>
    </row>
    <row r="28" ht="40.5" spans="1:8">
      <c r="A28" s="2"/>
      <c r="B28" s="2"/>
      <c r="C28" s="3"/>
      <c r="D28" s="2"/>
      <c r="E28" s="3"/>
      <c r="F28" s="4" t="s">
        <v>12</v>
      </c>
      <c r="G28" s="5">
        <v>4</v>
      </c>
      <c r="H28" s="3" t="s">
        <v>76</v>
      </c>
    </row>
    <row r="29" ht="40.5" spans="1:8">
      <c r="A29" s="2">
        <v>19</v>
      </c>
      <c r="B29" s="2"/>
      <c r="C29" s="3" t="s">
        <v>77</v>
      </c>
      <c r="D29" s="2"/>
      <c r="E29" s="3" t="s">
        <v>78</v>
      </c>
      <c r="F29" s="4" t="s">
        <v>12</v>
      </c>
      <c r="G29" s="5">
        <v>3</v>
      </c>
      <c r="H29" s="3" t="s">
        <v>79</v>
      </c>
    </row>
    <row r="30" ht="27" spans="1:8">
      <c r="A30" s="2">
        <v>20</v>
      </c>
      <c r="B30" s="2"/>
      <c r="C30" s="3" t="s">
        <v>80</v>
      </c>
      <c r="D30" s="2"/>
      <c r="E30" s="3" t="s">
        <v>81</v>
      </c>
      <c r="F30" s="4" t="s">
        <v>12</v>
      </c>
      <c r="G30" s="5">
        <v>6</v>
      </c>
      <c r="H30" s="3" t="s">
        <v>82</v>
      </c>
    </row>
    <row r="31" ht="27" spans="1:8">
      <c r="A31" s="2">
        <v>21</v>
      </c>
      <c r="B31" s="2" t="s">
        <v>83</v>
      </c>
      <c r="C31" s="3" t="s">
        <v>84</v>
      </c>
      <c r="D31" s="2"/>
      <c r="E31" s="3" t="s">
        <v>85</v>
      </c>
      <c r="F31" s="4" t="s">
        <v>12</v>
      </c>
      <c r="G31" s="5">
        <v>3</v>
      </c>
      <c r="H31" s="3" t="s">
        <v>86</v>
      </c>
    </row>
    <row r="32" spans="1:8">
      <c r="A32" s="2">
        <v>22</v>
      </c>
      <c r="B32" s="2"/>
      <c r="C32" s="3" t="s">
        <v>87</v>
      </c>
      <c r="D32" s="2"/>
      <c r="E32" s="3" t="s">
        <v>88</v>
      </c>
      <c r="F32" s="4" t="s">
        <v>16</v>
      </c>
      <c r="G32" s="5">
        <v>0.5</v>
      </c>
      <c r="H32" s="3" t="s">
        <v>89</v>
      </c>
    </row>
    <row r="33" ht="40.5" spans="1:8">
      <c r="A33" s="2"/>
      <c r="B33" s="2"/>
      <c r="C33" s="3"/>
      <c r="D33" s="2"/>
      <c r="E33" s="3"/>
      <c r="F33" s="4" t="s">
        <v>12</v>
      </c>
      <c r="G33" s="5">
        <v>2</v>
      </c>
      <c r="H33" s="3" t="s">
        <v>90</v>
      </c>
    </row>
    <row r="34" spans="1:8">
      <c r="A34" s="2">
        <v>23</v>
      </c>
      <c r="B34" s="2"/>
      <c r="C34" s="3" t="s">
        <v>91</v>
      </c>
      <c r="D34" s="2"/>
      <c r="E34" s="3" t="s">
        <v>92</v>
      </c>
      <c r="F34" s="4" t="s">
        <v>16</v>
      </c>
      <c r="G34" s="5">
        <v>1</v>
      </c>
      <c r="H34" s="3" t="s">
        <v>93</v>
      </c>
    </row>
    <row r="35" ht="40.5" spans="1:8">
      <c r="A35" s="2"/>
      <c r="B35" s="2"/>
      <c r="C35" s="3"/>
      <c r="D35" s="2"/>
      <c r="E35" s="3"/>
      <c r="F35" s="4" t="s">
        <v>12</v>
      </c>
      <c r="G35" s="5">
        <v>8</v>
      </c>
      <c r="H35" s="3" t="s">
        <v>94</v>
      </c>
    </row>
    <row r="36" ht="40.5" spans="1:8">
      <c r="A36" s="2">
        <v>24</v>
      </c>
      <c r="B36" s="2"/>
      <c r="C36" s="3" t="s">
        <v>95</v>
      </c>
      <c r="D36" s="2"/>
      <c r="E36" s="3" t="s">
        <v>96</v>
      </c>
      <c r="F36" s="4" t="s">
        <v>12</v>
      </c>
      <c r="G36" s="5">
        <v>5</v>
      </c>
      <c r="H36" s="3" t="s">
        <v>97</v>
      </c>
    </row>
    <row r="37" ht="27" spans="1:8">
      <c r="A37" s="2">
        <v>25</v>
      </c>
      <c r="B37" s="2"/>
      <c r="C37" s="3" t="s">
        <v>98</v>
      </c>
      <c r="D37" s="2"/>
      <c r="E37" s="3" t="s">
        <v>99</v>
      </c>
      <c r="F37" s="4" t="s">
        <v>16</v>
      </c>
      <c r="G37" s="5">
        <v>1</v>
      </c>
      <c r="H37" s="3" t="s">
        <v>100</v>
      </c>
    </row>
    <row r="38" ht="40.5" spans="1:8">
      <c r="A38" s="2"/>
      <c r="B38" s="2"/>
      <c r="C38" s="3"/>
      <c r="D38" s="2"/>
      <c r="E38" s="3"/>
      <c r="F38" s="4" t="s">
        <v>12</v>
      </c>
      <c r="G38" s="5">
        <v>4</v>
      </c>
      <c r="H38" s="3" t="s">
        <v>101</v>
      </c>
    </row>
    <row r="39" ht="40.5" spans="1:8">
      <c r="A39" s="2">
        <v>26</v>
      </c>
      <c r="B39" s="2"/>
      <c r="C39" s="3" t="s">
        <v>102</v>
      </c>
      <c r="D39" s="2"/>
      <c r="E39" s="3" t="s">
        <v>103</v>
      </c>
      <c r="F39" s="4" t="s">
        <v>12</v>
      </c>
      <c r="G39" s="5">
        <v>3</v>
      </c>
      <c r="H39" s="3" t="s">
        <v>104</v>
      </c>
    </row>
    <row r="40" ht="40.5" spans="1:8">
      <c r="A40" s="2">
        <v>27</v>
      </c>
      <c r="B40" s="2"/>
      <c r="C40" s="3" t="s">
        <v>105</v>
      </c>
      <c r="D40" s="2"/>
      <c r="E40" s="3" t="s">
        <v>106</v>
      </c>
      <c r="F40" s="4" t="s">
        <v>12</v>
      </c>
      <c r="G40" s="5">
        <v>10</v>
      </c>
      <c r="H40" s="3" t="s">
        <v>107</v>
      </c>
    </row>
    <row r="41" spans="1:8">
      <c r="A41" s="2">
        <v>28</v>
      </c>
      <c r="B41" s="3" t="s">
        <v>108</v>
      </c>
      <c r="C41" s="2" t="s">
        <v>109</v>
      </c>
      <c r="D41" s="2"/>
      <c r="E41" s="2"/>
      <c r="F41" s="4" t="s">
        <v>109</v>
      </c>
      <c r="G41" s="5">
        <f>ROUNDUP(SUM(G2:G40)*0.15,0)</f>
        <v>19</v>
      </c>
      <c r="H41" s="3"/>
    </row>
    <row r="42" spans="1:8">
      <c r="A42" s="6"/>
      <c r="B42" s="6"/>
      <c r="C42" s="6"/>
      <c r="D42" s="6"/>
      <c r="E42" s="6"/>
      <c r="F42" s="6" t="s">
        <v>110</v>
      </c>
      <c r="G42" s="7">
        <f>SUM(G2:G41)</f>
        <v>143</v>
      </c>
      <c r="H42" s="6"/>
    </row>
  </sheetData>
  <mergeCells count="41">
    <mergeCell ref="C41:E41"/>
    <mergeCell ref="A3:A4"/>
    <mergeCell ref="A6:A7"/>
    <mergeCell ref="A8:A9"/>
    <mergeCell ref="A11:A12"/>
    <mergeCell ref="A13:A14"/>
    <mergeCell ref="A15:A16"/>
    <mergeCell ref="A17:A18"/>
    <mergeCell ref="A21:A22"/>
    <mergeCell ref="A27:A28"/>
    <mergeCell ref="A32:A33"/>
    <mergeCell ref="A34:A35"/>
    <mergeCell ref="A37:A38"/>
    <mergeCell ref="B2:B19"/>
    <mergeCell ref="B20:B30"/>
    <mergeCell ref="B31:B40"/>
    <mergeCell ref="C3:C4"/>
    <mergeCell ref="C6:C7"/>
    <mergeCell ref="C8:C9"/>
    <mergeCell ref="C11:C12"/>
    <mergeCell ref="C13:C14"/>
    <mergeCell ref="C15:C16"/>
    <mergeCell ref="C17:C18"/>
    <mergeCell ref="C21:C22"/>
    <mergeCell ref="C27:C28"/>
    <mergeCell ref="C32:C33"/>
    <mergeCell ref="C34:C35"/>
    <mergeCell ref="C37:C38"/>
    <mergeCell ref="D2:D40"/>
    <mergeCell ref="E3:E4"/>
    <mergeCell ref="E6:E7"/>
    <mergeCell ref="E8:E9"/>
    <mergeCell ref="E11:E12"/>
    <mergeCell ref="E13:E14"/>
    <mergeCell ref="E15:E16"/>
    <mergeCell ref="E17:E18"/>
    <mergeCell ref="E21:E22"/>
    <mergeCell ref="E27:E28"/>
    <mergeCell ref="E32:E33"/>
    <mergeCell ref="E34:E35"/>
    <mergeCell ref="E37:E3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工时估算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ｍｉｎｇ</cp:lastModifiedBy>
  <dcterms:created xsi:type="dcterms:W3CDTF">2026-09-08T03:20:00Z</dcterms:created>
  <dcterms:modified xsi:type="dcterms:W3CDTF">2026-09-08T04:46:06Z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5E1DD545663F48F184442896A25F0052_12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
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<sst xmlns="http://schemas.openxmlformats.org/spreadsheetml/2006/main" count="239" uniqueCount="130">
  <si>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</si>
  <si>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</si>
  <si>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</si>
  <si>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</si>
  <si>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</si>
  <si>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</si>
  <si>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</si>
  <si>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</si>
  <si>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主数据</t>
  </si>
  <si>
    <t>主数据管理</t>
  </si>
  <si>
    <t>功能开发</t>
  </si>
  <si>
    <t>产品主数据：部门/料号/中英文描述/规格/单位/批号/效期/保税标识（UR-070/071）</t>
  </si>
  <si>
    <t>web端</t>
  </si>
  <si>
    <t>库位管理+二维码</t>
  </si>
  <si>
    <t>库位设置（如 B16A01）+ 定制二维码标签生成（UR-072）</t>
  </si>
  <si>
    <t>权限</t>
  </si>
  <si>
    <t>RBAC权限矩阵</t>
  </si>
  <si>
    <t>6 角色分权（用户/HSE/关务/QA/管理员/审计员），功能×角色矩阵界面，权限变更审批+审计（S-02/03）</t>
  </si>
  <si>
    <t>库存</t>
  </si>
  <si>
    <t>库存查询</t>
  </si>
  <si>
    <t>当前库存查询、移动记录查询界面（UR-040/044/045）</t>
  </si>
  <si>
    <t>库存调整</t>
  </si>
  <si>
    <t>库存调整经关务/QA 会签（保税→关务；非保税→QA），二人电子签名（UR-042）</t>
  </si>
  <si>
    <t>扣账</t>
  </si>
  <si>
    <t>扣账管理</t>
  </si>
  <si>
    <t>批量/单个扣账申请，二人复核电子签名，库存冲减唯一发生在确认时（UR-050/051/052/055/056）</t>
  </si>
  <si>
    <t>保税批文管理</t>
  </si>
  <si>
    <t>上传留存药监局/海关批文，到期前 30 天提醒，过期自动锁定可扣账标志（UR-054）</t>
  </si>
  <si>
    <t>销毁</t>
  </si>
  <si>
    <t>销毁出厂管理</t>
  </si>
  <si>
    <t>记录承接公司/批次/数量/日期，上传销毁单证，流程结束后只读（UR-060）</t>
  </si>
  <si>
    <t>危废月度报表</t>
  </si>
  <si>
    <t>月度危险废物产生量/销毁量/在库量报表，按部门/料号透视（UR-062）</t>
  </si>
  <si>
    <t>审计</t>
  </si>
  <si>
    <t>审计追踪查询导出</t>
  </si>
  <si>
    <t>完整审计追踪（创建/修改/删除旧值新值/执行人/时间/原因），不可编辑仅查询导出（SEC-72）</t>
  </si>
  <si>
    <t>报表</t>
  </si>
  <si>
    <t>报表导出Excel/PDF</t>
  </si>
  <si>
    <t>库存明细、移动记录、销毁记录导出（UR-041/061）</t>
  </si>
  <si>
    <t>国际化</t>
  </si>
  <si>
    <t>中英文国际化</t>
  </si>
  <si>
    <t>界面中英切换，时区 Asia/Shanghai，日期 ISO 8601（NFR-05）</t>
  </si>
  <si>
    <t>追溯</t>
  </si>
  <si>
    <t>全程追溯查询</t>
  </si>
  <si>
    <t>库存与移动记录可追溯至录入/收货/移库/扣账/销毁各环节（UR-045）</t>
  </si>
  <si>
    <t>打印服务</t>
  </si>
  <si>
    <t>识别码标签打印</t>
  </si>
  <si>
    <t>料号/批号/数量标签，与 PMX 格式一致，内嵌 QR（UR-030/031）</t>
  </si>
  <si>
    <t>库位标签打印</t>
  </si>
  <si>
    <t>定制 QR 标签（如 B16A01）（UR-033）</t>
  </si>
  <si>
    <t>打印机集成</t>
  </si>
  <si>
    <t>QA/QC 区域打印机设备驱动适配（UR-034）</t>
  </si>
  <si>
    <t>电子签名</t>
  </si>
  <si>
    <t>电子签名引擎</t>
  </si>
  <si>
    <t>21 CFR Part 11：签名人身份/签名含义/时间戳，不可与原记录分离（SEC-70）</t>
  </si>
  <si>
    <t>审计追踪</t>
  </si>
  <si>
    <t>审计追踪平台</t>
  </si>
  <si>
    <t>ALCOA+ 九要素（Attributable/Legible/Contemporaneous/Original/Accurate/Complete/Consistent/Enduring/Available）（SEC-73）</t>
  </si>
  <si>
    <t>工作流</t>
  </si>
  <si>
    <t>二人复核工作流</t>
  </si>
  <si>
    <t>关键操作强制二人复核，复核人独立于操作人，双方分别电子签名（SEC-71）</t>
  </si>
  <si>
    <t>加密</t>
  </si>
  <si>
    <t>FIPS 140-2加密实现</t>
  </si>
  <si>
    <t>BouncyCastle FIPS 密码模块，TLS 1.2+/AES-256（SEC-21）</t>
  </si>
  <si>
    <t>安全日志</t>
  </si>
  <si>
    <t>安全日志Lilly标准</t>
  </si>
  <si>
    <t>登录/权限变更/扣账/销毁/主数据变更/接口调用日志，字段含用户ID/源IP/时间戳/操作类型/目标/前后值（SEC-30/31/32）</t>
  </si>
  <si>
    <t>扫码盘点</t>
  </si>
  <si>
    <t>盘点结果查看、盘盈盘亏自动比对与报表（后台）</t>
  </si>
  <si>
    <t>PDA App</t>
  </si>
  <si>
    <t>扫码录入</t>
  </si>
  <si>
    <t>扫描 PMX/本系统标签完成录入，重复扫描告警（UR-004）</t>
  </si>
  <si>
    <t>移动扫码端</t>
  </si>
  <si>
    <t>扫码收货确认</t>
  </si>
  <si>
    <t>扫码确认收货，记录确认人/时间（UR-020/021/022）</t>
  </si>
  <si>
    <t>PDA 批量扫码盘点动作，结果上传（PDA App）</t>
  </si>
  <si>
    <t>扫码扣账</t>
  </si>
  <si>
    <t>扫描一个标签实现扣账，电子签名确认（UR-032/052）</t>
  </si>
  <si>
    <t>接口</t>
  </si>
  <si>
    <t>PMX接口对接</t>
  </si>
  <si>
    <t>外部API集成</t>
  </si>
  <si>
    <t>REST/HTTPS，T+1全量+事件增量，幂等+重试+对账，凭据存企业密钥系统（UR-090）</t>
  </si>
  <si>
    <t>-</t>
  </si>
  <si>
    <t>SSO/AD集成</t>
  </si>
  <si>
    <t>Lilly 企业 SSO/AD 认证，不允许独立密码（UR-092/SEC-10）</t>
  </si>
  <si>
    <t>邮件平台集成</t>
  </si>
  <si>
    <t>到期提醒邮件发送（UR-016/054）</t>
  </si>
  <si>
    <t>密钥管理系统对接</t>
  </si>
  <si>
    <t>加密密钥/证书托管至 Lilly 企业密钥系统（SEC-22）</t>
  </si>
  <si>
    <t>CMDB注册+日志代理</t>
  </si>
  <si>
    <t>服务器注册 CMDB + 部署企业日志代理（SEC-41）</t>
  </si>
  <si>
    <t>系统测试</t>
  </si>
  <si>
    <t>集成测试+系统测试，按实际开发工时（web端152+移动扫码端15+外部API集成28=195）的约 19% 估算</t>
  </si>
  <si>
    <t>CSV验证</t>
  </si>
  <si>
    <t>CSV验证文档IQ/OQ/PQ</t>
  </si>
  <si>
    <t>GxP 计算机系统验证：IQ/OQ/PQ 协议+执行报告，我方全责（URS GxP 要求）</t>
  </si>
  <si>
    <t>SAE评审</t>
  </si>
  <si>
    <t>SAE安全评审配合整改</t>
  </si>
  <si>
    <t>Lilly SAE 网络安全评审，威胁建模+SAST/DAST/SCA 配合+2 轮整改（SEC-01~04/60~65），保守预留</t>
  </si>
  <si>
    <t>迁移</t>
  </si>
  <si>
    <t>历史数据清洗导入</t>
  </si>
  <si>
    <t>废品/留样历史记录（PMX+Excel 结构化数据）清洗+导入</t>
  </si>
  <si>
    <t>设计</t>
  </si>
  <si>
    <t>功能设计FS/DS</t>
  </si>
  <si>
    <t>业务流程/数据模型/系统架构/接口方案/权限矩阵详细设计（G-01）</t>
  </si>
  <si>
    <t>UI/UX</t>
  </si>
  <si>
    <t>UI/UX全新设计</t>
  </si>
  <si>
    <t>全新视觉风格，页面数&gt;15（后台管理+扫码端多页面），中英文双语</t>
  </si>
  <si>
    <t>沟通</t>
  </si>
  <si>
    <t>需求沟通</t>
  </si>
  <si>
    <t>URS 已详细但缺交互稿/接口定义，需澄清</t>
  </si>
  <si>
    <t>环境</t>
  </si>
  <si>
    <t>环境搭建</t>
  </si>
  <si>
    <t>本地机房 3 套环境（Dev/QA/UAT/Prod）+ 网络/防火墙开通配合（I-01）</t>
  </si>
  <si>
    <t>管理</t>
  </si>
  <si>
    <t>项目管理</t>
  </si>
  <si>
    <t>6 个月中型团队（8-10 人）PM 工时，约总工时 8%</t>
  </si>
  <si>
    <t>验收</t>
  </si>
  <si>
    <t>客户验收+用户手册+SOP培训</t>
  </si>
  <si>
    <t>用户手册/管理员手册/SOP 培训，制药行业文档要求高</t>
  </si>
  <si>
    <t>上线</t>
  </si>
  <si>
    <t>上线切换+跟踪</t>
  </si>
  <si>
    <t>上线切换+1 周稳定期跟踪</t>
  </si>
  <si>
    <t>发布</t>
  </si>
  <si>
    <t>验收发布</t>
  </si>
  <si>
    <t>验证闭环+正式发布</t>
  </si>
  <si>
    <t>质保</t>
  </si>
  <si>
    <t>2年质保期运维</t>
  </si>
  <si>
    <t>URS 明确要求 2 年售后服务质保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</si>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</sst>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8</v>
      </c>
      <c r="H2" s="3"/>
    </row>
    <row r="3" spans="1:8">
      <c r="A3" s="2">
        <v>2</v>
      </c>
      <c r="B3" s="2"/>
      <c r="C3" s="3" t="s">
        <v>13</v>
      </c>
      <c r="D3" s="2"/>
      <c r="E3" s="3" t="s">
        <v>14</v>
      </c>
      <c r="F3" s="4" t="s">
        <v>12</v>
      </c>
      <c r="G3" s="5">
        <v>3</v>
      </c>
      <c r="H3" s="3"/>
    </row>
    <row r="4" spans="1:8">
      <c r="A4" s="2">
        <v>3</v>
      </c>
      <c r="B4" s="3" t="s">
        <v>15</v>
      </c>
      <c r="C4" s="3" t="s">
        <v>16</v>
      </c>
      <c r="D4" s="2"/>
      <c r="E4" s="3" t="s">
        <v>17</v>
      </c>
      <c r="F4" s="4" t="s">
        <v>12</v>
      </c>
      <c r="G4" s="5">
        <v>8</v>
      </c>
      <c r="H4" s="3"/>
    </row>
    <row r="5" spans="1:8">
      <c r="A5" s="2">
        <v>4</v>
      </c>
      <c r="B5" s="2" t="s">
        <v>18</v>
      </c>
      <c r="C5" s="3" t="s">
        <v>19</v>
      </c>
      <c r="D5" s="2"/>
      <c r="E5" s="3" t="s">
        <v>20</v>
      </c>
      <c r="F5" s="4" t="s">
        <v>12</v>
      </c>
      <c r="G5" s="5">
        <v>6</v>
      </c>
      <c r="H5" s="3"/>
    </row>
    <row r="6" spans="1:8">
      <c r="A6" s="2">
        <v>5</v>
      </c>
      <c r="B6" s="2"/>
      <c r="C6" s="3" t="s">
        <v>21</v>
      </c>
      <c r="D6" s="2"/>
      <c r="E6" s="3" t="s">
        <v>22</v>
      </c>
      <c r="F6" s="4" t="s">
        <v>12</v>
      </c>
      <c r="G6" s="5">
        <v>8</v>
      </c>
      <c r="H6" s="3"/>
    </row>
    <row r="7" spans="1:8">
      <c r="A7" s="2">
        <v>6</v>
      </c>
      <c r="B7" s="2" t="s">
        <v>23</v>
      </c>
      <c r="C7" s="3" t="s">
        <v>24</v>
      </c>
      <c r="D7" s="2"/>
      <c r="E7" s="3" t="s">
        <v>25</v>
      </c>
      <c r="F7" s="4" t="s">
        <v>12</v>
      </c>
      <c r="G7" s="5">
        <v>10</v>
      </c>
      <c r="H7" s="3"/>
    </row>
    <row r="8" spans="1:8">
      <c r="A8" s="2">
        <v>7</v>
      </c>
      <c r="B8" s="2"/>
      <c r="C8" s="3" t="s">
        <v>26</v>
      </c>
      <c r="D8" s="2"/>
      <c r="E8" s="3" t="s">
        <v>27</v>
      </c>
      <c r="F8" s="4" t="s">
        <v>12</v>
      </c>
      <c r="G8" s="5">
        <v>8</v>
      </c>
      <c r="H8" s="3"/>
    </row>
    <row r="9" spans="1:8">
      <c r="A9" s="2">
        <v>8</v>
      </c>
      <c r="B9" s="2" t="s">
        <v>28</v>
      </c>
      <c r="C9" s="3" t="s">
        <v>29</v>
      </c>
      <c r="D9" s="2"/>
      <c r="E9" s="3" t="s">
        <v>30</v>
      </c>
      <c r="F9" s="4" t="s">
        <v>12</v>
      </c>
      <c r="G9" s="5">
        <v>6</v>
      </c>
      <c r="H9" s="3"/>
    </row>
    <row r="10" spans="1:8">
      <c r="A10" s="2">
        <v>9</v>
      </c>
      <c r="B10" s="2"/>
      <c r="C10" s="3" t="s">
        <v>31</v>
      </c>
      <c r="D10" s="2"/>
      <c r="E10" s="3" t="s">
        <v>32</v>
      </c>
      <c r="F10" s="4" t="s">
        <v>12</v>
      </c>
      <c r="G10" s="5">
        <v>8</v>
      </c>
      <c r="H10" s="3"/>
    </row>
    <row r="11" spans="1:8">
      <c r="A11" s="2">
        <v>10</v>
      </c>
      <c r="B11" s="3" t="s">
        <v>33</v>
      </c>
      <c r="C11" s="3" t="s">
        <v>34</v>
      </c>
      <c r="D11" s="2"/>
      <c r="E11" s="3" t="s">
        <v>35</v>
      </c>
      <c r="F11" s="4" t="s">
        <v>12</v>
      </c>
      <c r="G11" s="5">
        <v>8</v>
      </c>
      <c r="H11" s="3"/>
    </row>
    <row r="12" spans="1:8">
      <c r="A12" s="2">
        <v>11</v>
      </c>
      <c r="B12" s="3" t="s">
        <v>36</v>
      </c>
      <c r="C12" s="3" t="s">
        <v>37</v>
      </c>
      <c r="D12" s="2"/>
      <c r="E12" s="3" t="s">
        <v>38</v>
      </c>
      <c r="F12" s="4" t="s">
        <v>12</v>
      </c>
      <c r="G12" s="5">
        <v>4</v>
      </c>
      <c r="H12" s="3"/>
    </row>
    <row r="13" spans="1:8">
      <c r="A13" s="2">
        <v>12</v>
      </c>
      <c r="B13" s="3" t="s">
        <v>39</v>
      </c>
      <c r="C13" s="3" t="s">
        <v>40</v>
      </c>
      <c r="D13" s="2"/>
      <c r="E13" s="3" t="s">
        <v>41</v>
      </c>
      <c r="F13" s="4" t="s">
        <v>12</v>
      </c>
      <c r="G13" s="5">
        <v>4</v>
      </c>
      <c r="H13" s="3"/>
    </row>
    <row r="14" spans="1:8">
      <c r="A14" s="2">
        <v>13</v>
      </c>
      <c r="B14" s="3" t="s">
        <v>42</v>
      </c>
      <c r="C14" s="3" t="s">
        <v>43</v>
      </c>
      <c r="D14" s="2"/>
      <c r="E14" s="3" t="s">
        <v>44</v>
      </c>
      <c r="F14" s="4" t="s">
        <v>12</v>
      </c>
      <c r="G14" s="5">
        <v>6</v>
      </c>
      <c r="H14" s="3"/>
    </row>
    <row r="15" spans="1:8">
      <c r="A15" s="2">
        <v>14</v>
      </c>
      <c r="B15" s="2" t="s">
        <v>45</v>
      </c>
      <c r="C15" s="3" t="s">
        <v>46</v>
      </c>
      <c r="D15" s="2"/>
      <c r="E15" s="3" t="s">
        <v>47</v>
      </c>
      <c r="F15" s="4" t="s">
        <v>12</v>
      </c>
      <c r="G15" s="5">
        <v>4</v>
      </c>
      <c r="H15" s="3"/>
    </row>
    <row r="16" spans="1:8">
      <c r="A16" s="2">
        <v>15</v>
      </c>
      <c r="B16" s="2"/>
      <c r="C16" s="3" t="s">
        <v>48</v>
      </c>
      <c r="D16" s="2"/>
      <c r="E16" s="3" t="s">
        <v>49</v>
      </c>
      <c r="F16" s="4" t="s">
        <v>12</v>
      </c>
      <c r="G16" s="5">
        <v>2</v>
      </c>
      <c r="H16" s="3"/>
    </row>
    <row r="17" spans="1:8">
      <c r="A17" s="2">
        <v>16</v>
      </c>
      <c r="B17" s="2"/>
      <c r="C17" s="3" t="s">
        <v>50</v>
      </c>
      <c r="D17" s="2"/>
      <c r="E17" s="3" t="s">
        <v>51</v>
      </c>
      <c r="F17" s="4" t="s">
        <v>12</v>
      </c>
      <c r="G17" s="5">
        <v>2</v>
      </c>
      <c r="H17" s="3"/>
    </row>
    <row r="18" spans="1:8">
      <c r="A18" s="2">
        <v>17</v>
      </c>
      <c r="B18" s="3" t="s">
        <v>52</v>
      </c>
      <c r="C18" s="3" t="s">
        <v>53</v>
      </c>
      <c r="D18" s="2"/>
      <c r="E18" s="3" t="s">
        <v>54</v>
      </c>
      <c r="F18" s="4" t="s">
        <v>12</v>
      </c>
      <c r="G18" s="5">
        <v>12</v>
      </c>
      <c r="H18" s="3"/>
    </row>
    <row r="19" spans="1:8">
      <c r="A19" s="2">
        <v>18</v>
      </c>
      <c r="B19" s="3" t="s">
        <v>55</v>
      </c>
      <c r="C19" s="3" t="s">
        <v>56</v>
      </c>
      <c r="D19" s="2"/>
      <c r="E19" s="3" t="s">
        <v>57</v>
      </c>
      <c r="F19" s="4" t="s">
        <v>12</v>
      </c>
      <c r="G19" s="5">
        <v>15</v>
      </c>
      <c r="H19" s="3"/>
    </row>
    <row r="20" spans="1:8">
      <c r="A20" s="2">
        <v>19</v>
      </c>
      <c r="B20" s="3" t="s">
        <v>58</v>
      </c>
      <c r="C20" s="3" t="s">
        <v>59</v>
      </c>
      <c r="D20" s="2"/>
      <c r="E20" s="3" t="s">
        <v>60</v>
      </c>
      <c r="F20" s="4" t="s">
        <v>12</v>
      </c>
      <c r="G20" s="5">
        <v>8</v>
      </c>
      <c r="H20" s="3"/>
    </row>
    <row r="21" spans="1:8">
      <c r="A21" s="2">
        <v>20</v>
      </c>
      <c r="B21" s="3" t="s">
        <v>61</v>
      </c>
      <c r="C21" s="3" t="s">
        <v>62</v>
      </c>
      <c r="D21" s="2"/>
      <c r="E21" s="3" t="s">
        <v>63</v>
      </c>
      <c r="F21" s="4" t="s">
        <v>12</v>
      </c>
      <c r="G21" s="5">
        <v>8</v>
      </c>
      <c r="H21" s="3"/>
    </row>
    <row r="22" spans="1:8">
      <c r="A22" s="2">
        <v>21</v>
      </c>
      <c r="B22" s="3" t="s">
        <v>64</v>
      </c>
      <c r="C22" s="3" t="s">
        <v>65</v>
      </c>
      <c r="D22" s="2"/>
      <c r="E22" s="3" t="s">
        <v>66</v>
      </c>
      <c r="F22" s="4" t="s">
        <v>12</v>
      </c>
      <c r="G22" s="5">
        <v>8</v>
      </c>
      <c r="H22" s="3"/>
    </row>
    <row r="23" spans="1:8">
      <c r="A23" s="2">
        <v>22</v>
      </c>
      <c r="B23" s="3" t="s">
        <v>18</v>
      </c>
      <c r="C23" s="3" t="s">
        <v>67</v>
      </c>
      <c r="D23" s="2"/>
      <c r="E23" s="3" t="s">
        <v>68</v>
      </c>
      <c r="F23" s="4" t="s">
        <v>12</v>
      </c>
      <c r="G23" s="5">
        <v>6</v>
      </c>
      <c r="H23" s="3"/>
    </row>
    <row r="24" spans="1:8">
      <c r="A24" s="2">
        <v>23</v>
      </c>
      <c r="B24" s="2" t="s">
        <v>69</v>
      </c>
      <c r="C24" s="3" t="s">
        <v>70</v>
      </c>
      <c r="D24" s="2"/>
      <c r="E24" s="3" t="s">
        <v>71</v>
      </c>
      <c r="F24" s="4" t="s">
        <v>72</v>
      </c>
      <c r="G24" s="5">
        <v>4</v>
      </c>
      <c r="H24" s="3"/>
    </row>
    <row r="25" spans="1:8">
      <c r="A25" s="2">
        <v>24</v>
      </c>
      <c r="B25" s="2"/>
      <c r="C25" s="3" t="s">
        <v>73</v>
      </c>
      <c r="D25" s="2"/>
      <c r="E25" s="3" t="s">
        <v>74</v>
      </c>
      <c r="F25" s="4" t="s">
        <v>72</v>
      </c>
      <c r="G25" s="5">
        <v>3</v>
      </c>
      <c r="H25" s="3"/>
    </row>
    <row r="26" spans="1:8">
      <c r="A26" s="2">
        <v>25</v>
      </c>
      <c r="B26" s="2"/>
      <c r="C26" s="3" t="s">
        <v>67</v>
      </c>
      <c r="D26" s="2"/>
      <c r="E26" s="3" t="s">
        <v>75</v>
      </c>
      <c r="F26" s="4" t="s">
        <v>72</v>
      </c>
      <c r="G26" s="5">
        <v>4</v>
      </c>
      <c r="H26" s="3"/>
    </row>
    <row r="27" spans="1:8">
      <c r="A27" s="2">
        <v>26</v>
      </c>
      <c r="B27" s="2"/>
      <c r="C27" s="3" t="s">
        <v>76</v>
      </c>
      <c r="D27" s="2"/>
      <c r="E27" s="3" t="s">
        <v>77</v>
      </c>
      <c r="F27" s="4" t="s">
        <v>72</v>
      </c>
      <c r="G27" s="5">
        <v>4</v>
      </c>
      <c r="H27" s="3"/>
    </row>
    <row r="28" spans="1:8">
      <c r="A28" s="2">
        <v>27</v>
      </c>
      <c r="B28" s="2" t="s">
        <v>78</v>
      </c>
      <c r="C28" s="3" t="s">
        <v>79</v>
      </c>
      <c r="D28" s="2" t="s">
        <v>80</v>
      </c>
      <c r="E28" s="3" t="s">
        <v>81</v>
      </c>
      <c r="F28" s="4" t="s">
        <v>82</v>
      </c>
      <c r="G28" s="5">
        <v>18</v>
      </c>
      <c r="H28" s="3"/>
    </row>
    <row r="29" spans="1:8">
      <c r="A29" s="2">
        <v>28</v>
      </c>
      <c r="B29" s="2"/>
      <c r="C29" s="3" t="s">
        <v>83</v>
      </c>
      <c r="D29" s="2"/>
      <c r="E29" s="3" t="s">
        <v>84</v>
      </c>
      <c r="F29" s="4" t="s">
        <v>82</v>
      </c>
      <c r="G29" s="5">
        <v>4</v>
      </c>
      <c r="H29" s="3"/>
    </row>
    <row r="30" spans="1:8">
      <c r="A30" s="2">
        <v>29</v>
      </c>
      <c r="B30" s="2"/>
      <c r="C30" s="3" t="s">
        <v>85</v>
      </c>
      <c r="D30" s="2"/>
      <c r="E30" s="3" t="s">
        <v>86</v>
      </c>
      <c r="F30" s="4" t="s">
        <v>82</v>
      </c>
      <c r="G30" s="5">
        <v>2</v>
      </c>
      <c r="H30" s="3"/>
    </row>
    <row r="31" spans="1:8">
      <c r="A31" s="2">
        <v>30</v>
      </c>
      <c r="B31" s="2"/>
      <c r="C31" s="3" t="s">
        <v>87</v>
      </c>
      <c r="D31" s="2"/>
      <c r="E31" s="3" t="s">
        <v>88</v>
      </c>
      <c r="F31" s="4" t="s">
        <v>82</v>
      </c>
      <c r="G31" s="5">
        <v>2</v>
      </c>
      <c r="H31" s="3"/>
    </row>
    <row r="32" spans="1:8">
      <c r="A32" s="2">
        <v>31</v>
      </c>
      <c r="B32" s="2"/>
      <c r="C32" s="3" t="s">
        <v>89</v>
      </c>
      <c r="D32" s="2"/>
      <c r="E32" s="3" t="s">
        <v>90</v>
      </c>
      <c r="F32" s="4" t="s">
        <v>82</v>
      </c>
      <c r="G32" s="5">
        <v>2</v>
      </c>
      <c r="H32" s="3"/>
    </row>
    <row r="33" spans="1:8">
      <c r="A33" s="2">
        <v>32</v>
      </c>
      <c r="B33" s="3" t="s">
        <v>91</v>
      </c>
      <c r="C33" s="3" t="s">
        <v>91</v>
      </c>
      <c r="D33" s="2" t="s">
        <v>82</v>
      </c>
      <c r="E33" s="3" t="s">
        <v>92</v>
      </c>
      <c r="F33" s="4" t="s">
        <v>82</v>
      </c>
      <c r="G33" s="5">
        <v>37</v>
      </c>
      <c r="H33" s="3"/>
    </row>
    <row r="34" spans="1:8">
      <c r="A34" s="2">
        <v>33</v>
      </c>
      <c r="B34" s="3" t="s">
        <v>93</v>
      </c>
      <c r="C34" s="3" t="s">
        <v>94</v>
      </c>
      <c r="D34" s="2"/>
      <c r="E34" s="3" t="s">
        <v>95</v>
      </c>
      <c r="F34" s="4" t="s">
        <v>82</v>
      </c>
      <c r="G34" s="5">
        <v>15</v>
      </c>
      <c r="H34" s="3"/>
    </row>
    <row r="35" spans="1:8">
      <c r="A35" s="2">
        <v>34</v>
      </c>
      <c r="B35" s="3" t="s">
        <v>96</v>
      </c>
      <c r="C35" s="3" t="s">
        <v>97</v>
      </c>
      <c r="D35" s="2"/>
      <c r="E35" s="3" t="s">
        <v>98</v>
      </c>
      <c r="F35" s="4" t="s">
        <v>82</v>
      </c>
      <c r="G35" s="5">
        <v>12</v>
      </c>
      <c r="H35" s="3"/>
    </row>
    <row r="36" spans="1:8">
      <c r="A36" s="2">
        <v>35</v>
      </c>
      <c r="B36" s="3" t="s">
        <v>99</v>
      </c>
      <c r="C36" s="3" t="s">
        <v>100</v>
      </c>
      <c r="D36" s="2"/>
      <c r="E36" s="3" t="s">
        <v>101</v>
      </c>
      <c r="F36" s="4" t="s">
        <v>82</v>
      </c>
      <c r="G36" s="5">
        <v>15</v>
      </c>
      <c r="H36" s="3"/>
    </row>
    <row r="37" spans="1:8">
      <c r="A37" s="2">
        <v>36</v>
      </c>
      <c r="B37" s="3" t="s">
        <v>102</v>
      </c>
      <c r="C37" s="3" t="s">
        <v>103</v>
      </c>
      <c r="D37" s="2"/>
      <c r="E37" s="3" t="s">
        <v>104</v>
      </c>
      <c r="F37" s="4" t="s">
        <v>82</v>
      </c>
      <c r="G37" s="5">
        <v>40</v>
      </c>
      <c r="H37" s="3"/>
    </row>
    <row r="38" spans="1:8">
      <c r="A38" s="2">
        <v>37</v>
      </c>
      <c r="B38" s="3" t="s">
        <v>105</v>
      </c>
      <c r="C38" s="3" t="s">
        <v>106</v>
      </c>
      <c r="D38" s="2"/>
      <c r="E38" s="3" t="s">
        <v>107</v>
      </c>
      <c r="F38" s="4" t="s">
        <v>82</v>
      </c>
      <c r="G38" s="5">
        <v>35</v>
      </c>
      <c r="H38" s="3"/>
    </row>
    <row r="39" spans="1:8">
      <c r="A39" s="2">
        <v>38</v>
      </c>
      <c r="B39" s="3" t="s">
        <v>108</v>
      </c>
      <c r="C39" s="3" t="s">
        <v>109</v>
      </c>
      <c r="D39" s="2"/>
      <c r="E39" s="3" t="s">
        <v>110</v>
      </c>
      <c r="F39" s="4" t="s">
        <v>82</v>
      </c>
      <c r="G39" s="5">
        <v>2</v>
      </c>
      <c r="H39" s="3"/>
    </row>
    <row r="40" spans="1:8">
      <c r="A40" s="2">
        <v>39</v>
      </c>
      <c r="B40" s="3" t="s">
        <v>111</v>
      </c>
      <c r="C40" s="3" t="s">
        <v>112</v>
      </c>
      <c r="D40" s="2"/>
      <c r="E40" s="3" t="s">
        <v>113</v>
      </c>
      <c r="F40" s="4" t="s">
        <v>82</v>
      </c>
      <c r="G40" s="5">
        <v>3</v>
      </c>
      <c r="H40" s="3"/>
    </row>
    <row r="41" spans="1:8">
      <c r="A41" s="2">
        <v>40</v>
      </c>
      <c r="B41" s="3" t="s">
        <v>114</v>
      </c>
      <c r="C41" s="3" t="s">
        <v>115</v>
      </c>
      <c r="D41" s="2"/>
      <c r="E41" s="3" t="s">
        <v>116</v>
      </c>
      <c r="F41" s="4" t="s">
        <v>82</v>
      </c>
      <c r="G41" s="5">
        <v>42</v>
      </c>
      <c r="H41" s="3"/>
    </row>
    <row r="42" spans="1:8">
      <c r="A42" s="2">
        <v>41</v>
      </c>
      <c r="B42" s="3" t="s">
        <v>117</v>
      </c>
      <c r="C42" s="3" t="s">
        <v>118</v>
      </c>
      <c r="D42" s="2"/>
      <c r="E42" s="3" t="s">
        <v>119</v>
      </c>
      <c r="F42" s="4" t="s">
        <v>82</v>
      </c>
      <c r="G42" s="5">
        <v>20</v>
      </c>
      <c r="H42" s="3"/>
    </row>
    <row r="43" spans="1:8">
      <c r="A43" s="2">
        <v>42</v>
      </c>
      <c r="B43" s="3" t="s">
        <v>120</v>
      </c>
      <c r="C43" s="3" t="s">
        <v>121</v>
      </c>
      <c r="D43" s="2"/>
      <c r="E43" s="3" t="s">
        <v>122</v>
      </c>
      <c r="F43" s="4" t="s">
        <v>82</v>
      </c>
      <c r="G43" s="5">
        <v>15</v>
      </c>
      <c r="H43" s="3"/>
    </row>
    <row r="44" spans="1:8">
      <c r="A44" s="2">
        <v>43</v>
      </c>
      <c r="B44" s="3" t="s">
        <v>123</v>
      </c>
      <c r="C44" s="3" t="s">
        <v>124</v>
      </c>
      <c r="D44" s="2"/>
      <c r="E44" s="3" t="s">
        <v>125</v>
      </c>
      <c r="F44" s="4" t="s">
        <v>82</v>
      </c>
      <c r="G44" s="5">
        <v>15</v>
      </c>
      <c r="H44" s="3"/>
    </row>
    <row r="45" spans="1:8">
      <c r="A45" s="2">
        <v>44</v>
      </c>
      <c r="B45" s="3" t="s">
        <v>126</v>
      </c>
      <c r="C45" s="3" t="s">
        <v>127</v>
      </c>
      <c r="D45" s="2"/>
      <c r="E45" s="3" t="s">
        <v>128</v>
      </c>
      <c r="F45" s="4" t="s">
        <v>82</v>
      </c>
      <c r="G45" s="5">
        <v>30</v>
      </c>
      <c r="H45" s="3"/>
    </row>
    <row r="46" spans="1:8">
      <c r="A46" s="6"/>
      <c r="B46" s="6"/>
      <c r="C46" s="6"/>
      <c r="D46" s="6"/>
      <c r="E46" s="6"/>
      <c r="F46" s="6" t="s">
        <v>129</v>
      </c>
      <c r="G46" s="7">
        <f>ROUNDUP(SUM(G2:G45),0)</f>
        <v>0</v>
      </c>
      <c r="H46" s="6"/>
    </row>
  </sheetData>
  <mergeCells count="10">
    <mergeCell ref="B2:B3"/>
    <mergeCell ref="B5:B6"/>
    <mergeCell ref="B7:B8"/>
    <mergeCell ref="B9:B10"/>
    <mergeCell ref="B15:B17"/>
    <mergeCell ref="B24:B27"/>
    <mergeCell ref="B28:B32"/>
    <mergeCell ref="D2:D27"/>
    <mergeCell ref="D28:D32"/>
    <mergeCell ref="D33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2026-07-29T02:10:39Z</dcterms:created>
  <dcterms:modified xsi:type="dcterms:W3CDTF">2026-07-29T02:10:39Z</dcterms:modified>
</cp:coreProperties>
</file>
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aoming\workspace\project-effort-estimation\data\current\"/>
    </mc:Choice>
  </mc:AlternateContent>
  <bookViews>
    <workbookView windowWidth="28800" windowHeight="12255"/>
  </bookViews>
  <sheets>
    <sheet name="报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<sst xmlns="http://schemas.openxmlformats.org/spreadsheetml/2006/main" count="128" uniqueCount="66">
  <si>
    <r>
      <rPr>
        <b/>
        <sz val="16"/>
        <color theme="1"/>
        <rFont val="微软雅黑"/>
        <charset val="134"/>
      </rPr>
      <t>报价单</t>
    </r>
  </si>
  <si>
    <r>
      <rPr>
        <b/>
        <sz val="11"/>
        <color theme="1"/>
        <rFont val="微软雅黑"/>
        <charset val="134"/>
      </rPr>
      <t>用户信息</t>
    </r>
  </si>
  <si>
    <r>
      <rPr>
        <b/>
        <sz val="11"/>
        <color theme="1"/>
        <rFont val="微软雅黑"/>
        <charset val="134"/>
      </rPr>
      <t>供应商信息</t>
    </r>
  </si>
  <si>
    <r>
      <rPr>
        <sz val="11"/>
        <rFont val="微软雅黑"/>
        <charset val="134"/>
      </rPr>
      <t>部门</t>
    </r>
  </si>
  <si>
    <r>
      <rPr>
        <sz val="11"/>
        <rFont val="微软雅黑"/>
        <charset val="134"/>
      </rPr>
      <t>供应商名称</t>
    </r>
  </si>
  <si>
    <r>
      <rPr>
        <sz val="11"/>
        <color theme="1"/>
        <rFont val="微软雅黑"/>
        <charset val="134"/>
      </rPr>
      <t>上海乐梵企业营销策划有限公司</t>
    </r>
  </si>
  <si>
    <r>
      <rPr>
        <sz val="11"/>
        <color theme="1"/>
        <rFont val="微软雅黑"/>
        <charset val="134"/>
      </rPr>
      <t>申请人</t>
    </r>
  </si>
  <si>
    <r>
      <rPr>
        <sz val="11"/>
        <color theme="1"/>
        <rFont val="微软雅黑"/>
        <charset val="134"/>
      </rPr>
      <t>联系人</t>
    </r>
  </si>
  <si>
    <t>Rachel Gao</t>
  </si>
  <si>
    <r>
      <rPr>
        <sz val="11"/>
        <color theme="1"/>
        <rFont val="微软雅黑"/>
        <charset val="134"/>
      </rPr>
      <t>联系电话</t>
    </r>
  </si>
  <si>
    <r>
      <rPr>
        <sz val="11"/>
        <color theme="1"/>
        <rFont val="微软雅黑"/>
        <charset val="134"/>
      </rPr>
      <t>邮箱</t>
    </r>
  </si>
  <si>
    <t>rachel.gao@loffcomm7.com</t>
  </si>
  <si>
    <r>
      <rPr>
        <sz val="11"/>
        <color theme="1"/>
        <rFont val="微软雅黑"/>
        <charset val="134"/>
      </rPr>
      <t>申请时间</t>
    </r>
  </si>
  <si>
    <r>
      <rPr>
        <sz val="11"/>
        <color theme="1"/>
        <rFont val="微软雅黑"/>
        <charset val="134"/>
      </rPr>
      <t>报价日期</t>
    </r>
  </si>
  <si>
    <t>2026.04.20</t>
  </si>
  <si>
    <r>
      <rPr>
        <b/>
        <sz val="11"/>
        <color theme="1"/>
        <rFont val="微软雅黑"/>
        <charset val="134"/>
      </rPr>
      <t>项目</t>
    </r>
    <r>
      <rPr>
        <b/>
        <sz val="11"/>
        <color theme="1"/>
        <rFont val="Arial"/>
        <charset val="134"/>
      </rPr>
      <t>/</t>
    </r>
    <r>
      <rPr>
        <b/>
        <sz val="11"/>
        <color theme="1"/>
        <rFont val="微软雅黑"/>
        <charset val="134"/>
      </rPr>
      <t>活动名称</t>
    </r>
  </si>
  <si>
    <r>
      <rPr>
        <sz val="11"/>
        <color theme="1"/>
        <rFont val="Arial"/>
        <charset val="134"/>
      </rPr>
      <t xml:space="preserve">RGI </t>
    </r>
    <r>
      <rPr>
        <sz val="11"/>
        <color theme="1"/>
        <rFont val="宋体"/>
        <charset val="134"/>
      </rPr>
      <t>荣誉勋章项目</t>
    </r>
  </si>
  <si>
    <r>
      <rPr>
        <b/>
        <sz val="11"/>
        <color theme="1"/>
        <rFont val="微软雅黑"/>
        <charset val="134"/>
      </rPr>
      <t>项目</t>
    </r>
    <r>
      <rPr>
        <b/>
        <sz val="11"/>
        <color theme="1"/>
        <rFont val="Arial"/>
        <charset val="134"/>
      </rPr>
      <t>/</t>
    </r>
    <r>
      <rPr>
        <b/>
        <sz val="11"/>
        <color theme="1"/>
        <rFont val="微软雅黑"/>
        <charset val="134"/>
      </rPr>
      <t>活动时间（周期）</t>
    </r>
  </si>
  <si>
    <r>
      <rPr>
        <b/>
        <sz val="11"/>
        <color theme="1"/>
        <rFont val="微软雅黑"/>
        <charset val="134"/>
      </rPr>
      <t>项目</t>
    </r>
    <r>
      <rPr>
        <b/>
        <sz val="11"/>
        <color theme="1"/>
        <rFont val="Arial"/>
        <charset val="134"/>
      </rPr>
      <t>/</t>
    </r>
    <r>
      <rPr>
        <b/>
        <sz val="11"/>
        <color theme="1"/>
        <rFont val="微软雅黑"/>
        <charset val="134"/>
      </rPr>
      <t>活动地点</t>
    </r>
  </si>
  <si>
    <r>
      <rPr>
        <b/>
        <sz val="11"/>
        <color theme="1"/>
        <rFont val="微软雅黑"/>
        <charset val="134"/>
      </rPr>
      <t>是否</t>
    </r>
    <r>
      <rPr>
        <b/>
        <sz val="11"/>
        <color theme="1"/>
        <rFont val="Arial"/>
        <charset val="134"/>
      </rPr>
      <t>Involve IT</t>
    </r>
  </si>
  <si>
    <r>
      <rPr>
        <b/>
        <sz val="11"/>
        <color theme="1"/>
        <rFont val="微软雅黑"/>
        <charset val="134"/>
      </rPr>
      <t>是否涉及</t>
    </r>
    <r>
      <rPr>
        <b/>
        <sz val="11"/>
        <color theme="1"/>
        <rFont val="Arial"/>
        <charset val="134"/>
      </rPr>
      <t>HCP</t>
    </r>
    <r>
      <rPr>
        <b/>
        <sz val="11"/>
        <color theme="1"/>
        <rFont val="微软雅黑"/>
        <charset val="134"/>
      </rPr>
      <t>或</t>
    </r>
    <r>
      <rPr>
        <b/>
        <sz val="11"/>
        <color theme="1"/>
        <rFont val="Arial"/>
        <charset val="134"/>
      </rPr>
      <t>HCO</t>
    </r>
  </si>
  <si>
    <r>
      <rPr>
        <b/>
        <sz val="12"/>
        <rFont val="微软雅黑"/>
        <charset val="134"/>
      </rPr>
      <t>报价汇总</t>
    </r>
  </si>
  <si>
    <r>
      <rPr>
        <b/>
        <sz val="12"/>
        <rFont val="微软雅黑"/>
        <charset val="134"/>
      </rPr>
      <t>人民币不含税总计</t>
    </r>
  </si>
  <si>
    <r>
      <rPr>
        <b/>
        <sz val="12"/>
        <rFont val="微软雅黑"/>
        <charset val="134"/>
      </rPr>
      <t>税费</t>
    </r>
    <r>
      <rPr>
        <b/>
        <sz val="12"/>
        <color rgb="FFFF0000"/>
        <rFont val="Arial"/>
        <charset val="134"/>
      </rPr>
      <t>*</t>
    </r>
  </si>
  <si>
    <r>
      <rPr>
        <b/>
        <sz val="12"/>
        <rFont val="微软雅黑"/>
        <charset val="134"/>
      </rPr>
      <t>含税人民币总计</t>
    </r>
  </si>
  <si>
    <r>
      <rPr>
        <b/>
        <sz val="12"/>
        <rFont val="微软雅黑"/>
        <charset val="134"/>
      </rPr>
      <t>费率卡使用部分金额总计</t>
    </r>
    <r>
      <rPr>
        <b/>
        <sz val="12"/>
        <color rgb="FFFF0000"/>
        <rFont val="Arial"/>
        <charset val="134"/>
      </rPr>
      <t>**</t>
    </r>
  </si>
  <si>
    <r>
      <rPr>
        <b/>
        <sz val="12"/>
        <rFont val="微软雅黑"/>
        <charset val="134"/>
      </rPr>
      <t>费率卡使用比例</t>
    </r>
  </si>
  <si>
    <r>
      <rPr>
        <sz val="11"/>
        <color theme="1"/>
        <rFont val="Arial"/>
        <charset val="134"/>
      </rPr>
      <t>Remark</t>
    </r>
    <r>
      <rPr>
        <sz val="11"/>
        <color theme="1"/>
        <rFont val="微软雅黑"/>
        <charset val="134"/>
      </rPr>
      <t>：</t>
    </r>
  </si>
  <si>
    <r>
      <rPr>
        <sz val="11"/>
        <color rgb="FFFF0000"/>
        <rFont val="Arial"/>
        <charset val="134"/>
      </rPr>
      <t xml:space="preserve">* </t>
    </r>
    <r>
      <rPr>
        <sz val="11"/>
        <color theme="1"/>
        <rFont val="微软雅黑"/>
        <charset val="134"/>
      </rPr>
      <t>税费不是</t>
    </r>
    <r>
      <rPr>
        <sz val="11"/>
        <color theme="1"/>
        <rFont val="Arial"/>
        <charset val="134"/>
      </rPr>
      <t>6%</t>
    </r>
    <r>
      <rPr>
        <sz val="11"/>
        <color theme="1"/>
        <rFont val="微软雅黑"/>
        <charset val="134"/>
      </rPr>
      <t>的，请调整</t>
    </r>
    <r>
      <rPr>
        <sz val="11"/>
        <color theme="1"/>
        <rFont val="Arial"/>
        <charset val="134"/>
      </rPr>
      <t>E</t>
    </r>
    <r>
      <rPr>
        <sz val="11"/>
        <color theme="1"/>
        <rFont val="微软雅黑"/>
        <charset val="134"/>
      </rPr>
      <t>栏的税费</t>
    </r>
  </si>
  <si>
    <r>
      <rPr>
        <sz val="11"/>
        <color rgb="FFFF0000"/>
        <rFont val="Arial"/>
        <charset val="134"/>
      </rPr>
      <t>**</t>
    </r>
    <r>
      <rPr>
        <sz val="11"/>
        <color theme="1"/>
        <rFont val="微软雅黑"/>
        <charset val="134"/>
      </rPr>
      <t>费率卡使用金额总计为报价中所有费率卡价格的总价</t>
    </r>
  </si>
  <si>
    <t>1. Digital Content</t>
  </si>
  <si>
    <r>
      <rPr>
        <sz val="11"/>
        <color theme="1"/>
        <rFont val="微软雅黑"/>
        <charset val="134"/>
      </rPr>
      <t>人民币小计</t>
    </r>
  </si>
  <si>
    <r>
      <rPr>
        <b/>
        <sz val="12"/>
        <rFont val="微软雅黑"/>
        <charset val="134"/>
      </rPr>
      <t>编号</t>
    </r>
  </si>
  <si>
    <r>
      <rPr>
        <b/>
        <sz val="12"/>
        <rFont val="微软雅黑"/>
        <charset val="134"/>
      </rPr>
      <t>内容</t>
    </r>
  </si>
  <si>
    <r>
      <rPr>
        <b/>
        <sz val="12"/>
        <rFont val="微软雅黑"/>
        <charset val="134"/>
      </rPr>
      <t>单价</t>
    </r>
  </si>
  <si>
    <r>
      <rPr>
        <b/>
        <sz val="12"/>
        <rFont val="微软雅黑"/>
        <charset val="134"/>
      </rPr>
      <t>数量</t>
    </r>
  </si>
  <si>
    <r>
      <rPr>
        <b/>
        <sz val="12"/>
        <rFont val="微软雅黑"/>
        <charset val="134"/>
      </rPr>
      <t>单位</t>
    </r>
  </si>
  <si>
    <r>
      <rPr>
        <b/>
        <sz val="12"/>
        <rFont val="微软雅黑"/>
        <charset val="134"/>
      </rPr>
      <t>总金额</t>
    </r>
  </si>
  <si>
    <r>
      <rPr>
        <b/>
        <sz val="12"/>
        <rFont val="微软雅黑"/>
        <charset val="134"/>
      </rPr>
      <t>备注</t>
    </r>
  </si>
  <si>
    <r>
      <rPr>
        <b/>
        <sz val="12"/>
        <rFont val="微软雅黑"/>
        <charset val="134"/>
      </rPr>
      <t>费率卡</t>
    </r>
  </si>
  <si>
    <t>2. Digital Technology</t>
  </si>
  <si>
    <r>
      <rPr>
        <sz val="10"/>
        <color theme="1"/>
        <rFont val="微软雅黑"/>
        <charset val="134"/>
      </rPr>
      <t>人</t>
    </r>
    <r>
      <rPr>
        <sz val="10"/>
        <color theme="1"/>
        <rFont val="Arial"/>
        <charset val="134"/>
      </rPr>
      <t>/</t>
    </r>
    <r>
      <rPr>
        <sz val="10"/>
        <color theme="1"/>
        <rFont val="微软雅黑"/>
        <charset val="134"/>
      </rPr>
      <t>天</t>
    </r>
  </si>
  <si>
    <r>
      <rPr>
        <sz val="11"/>
        <color theme="1"/>
        <rFont val="微软雅黑"/>
        <charset val="134"/>
      </rPr>
      <t>用户端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对内主页：搜索框（项目/能力）、问候+徽章墙、统计三数（勋章/完成培训/被点赞）、我的专业能力卡+去展示、我的技能数 + 去互动、我的排名入口、能力维护</t>
    </r>
  </si>
  <si>
    <t>低于费率卡</t>
  </si>
  <si>
    <r>
      <rPr>
        <sz val="11"/>
        <color theme="1"/>
        <rFont val="微软雅黑"/>
        <charset val="134"/>
      </rPr>
      <t>用户端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按 7 条产品线分组展示细分能力，Lv.1/Lv.2 等级样式；已获得亮显、未获得灰显可见</t>
    </r>
  </si>
  <si>
    <r>
      <rPr>
        <sz val="11"/>
        <color theme="1"/>
        <rFont val="微软雅黑"/>
        <charset val="134"/>
      </rPr>
      <t>用户端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关键词搜索 + 筛选面板（地区▼/能力▼/Tag 排序）+ 徽章 chips 多选 + 重置/确定，结果为同事卡片列表；搜索历史保留（前端本地存储）</t>
    </r>
  </si>
  <si>
    <r>
      <rPr>
        <sz val="11"/>
        <color theme="1"/>
        <rFont val="微软雅黑"/>
        <charset val="134"/>
      </rPr>
      <t>用户端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能力/经验双 tab：能力=技能树视图；经验=工作履历（含友商任职及负责产品）；展示被点赞数</t>
    </r>
  </si>
  <si>
    <r>
      <rPr>
        <sz val="11"/>
        <color theme="1"/>
        <rFont val="微软雅黑"/>
        <charset val="134"/>
      </rPr>
      <t>用户端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RGI 榜与 ER/PH 榜两套榜单分开排名，支持榜单切换查看</t>
    </r>
  </si>
  <si>
    <r>
      <rPr>
        <sz val="11"/>
        <color theme="1"/>
        <rFont val="微软雅黑"/>
        <charset val="134"/>
      </rPr>
      <t>用户端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个人留言墙：可评论、回复（二级回复）、删除；内容先发后审（默认可见）</t>
    </r>
  </si>
  <si>
    <r>
      <rPr>
        <sz val="11"/>
        <color theme="1"/>
        <rFont val="微软雅黑"/>
        <charset val="134"/>
      </rPr>
      <t>用户端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头像、职位、地区等名片展示字段维护；姓名/工号等 HR 字段同步不可改</t>
    </r>
  </si>
  <si>
    <r>
      <rPr>
        <sz val="11"/>
        <color theme="1"/>
        <rFont val="微软雅黑"/>
        <charset val="134"/>
      </rPr>
      <t>用户端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对外名片：个人头卡（照片/姓名/职位/地区/logo）+ 徽章墙 + 分享按钮；7 条产品线可展开卡片，细分能力清单带认证日期；HCP 经分享链接免登录只读</t>
    </r>
  </si>
  <si>
    <r>
      <rPr>
        <sz val="11"/>
        <color theme="1"/>
        <rFont val="微软雅黑"/>
        <charset val="134"/>
      </rPr>
      <t>管理后台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基础数据字典：产品线（7 条中文名）/细分能力项/能力等级/地区/Tag 分类，支撑搜索筛选分组</t>
    </r>
  </si>
  <si>
    <r>
      <rPr>
        <sz val="11"/>
        <color theme="1"/>
        <rFont val="微软雅黑"/>
        <charset val="134"/>
      </rPr>
      <t>管理后台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培训数据手工录入 + 批量导入（Excel）；定期更新销售专业能力</t>
    </r>
  </si>
  <si>
    <r>
      <rPr>
        <sz val="11"/>
        <color theme="1"/>
        <rFont val="微软雅黑"/>
        <charset val="134"/>
      </rPr>
      <t>管理后台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徽章/勋章图标素材上传维护、名称/描述/排序、与 TAG 类型绑定、产品线图标与主题色配置、上下架</t>
    </r>
  </si>
  <si>
    <r>
      <rPr>
        <sz val="11"/>
        <color theme="1"/>
        <rFont val="微软雅黑"/>
        <charset val="134"/>
      </rPr>
      <t>管理后台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TAG 类型维护（实战跟台、项目先锋、友商经历…）、解锁规则配置（行为/数量/口碑三路，各解锁实战 TAG 1/3）</t>
    </r>
  </si>
  <si>
    <r>
      <rPr>
        <sz val="11"/>
        <color theme="1"/>
        <rFont val="微软雅黑"/>
        <charset val="134"/>
      </rPr>
      <t>管理后台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TCS 行为评估录入；DSM 跟台数量维护；DSM 客户口碑评价维护；解锁确认流程（三方确认链）</t>
    </r>
  </si>
  <si>
    <r>
      <rPr>
        <sz val="11"/>
        <color theme="1"/>
        <rFont val="微软雅黑"/>
        <charset val="134"/>
      </rPr>
      <t>管理后台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工作履历（含友商任职公司与负责产品）后台维护，供同事详情「经验」tab 展示</t>
    </r>
  </si>
  <si>
    <r>
      <rPr>
        <sz val="11"/>
        <color theme="1"/>
        <rFont val="微软雅黑"/>
        <charset val="134"/>
      </rPr>
      <t>管理后台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留言/回复列表查看、内容审核（默认可见、违规删除/下架）、审核记录查询</t>
    </r>
  </si>
  <si>
    <r>
      <rPr>
        <sz val="11"/>
        <color theme="1"/>
        <rFont val="微软雅黑"/>
        <charset val="134"/>
      </rPr>
      <t>管理后台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角色（销售/DSM/TCS/MKT/LT）权限配置；员工基础数据 DAC 同步；企微 OAuth 登录与身份绑定</t>
    </r>
  </si>
  <si>
    <r>
      <rPr>
        <sz val="11"/>
        <color theme="1"/>
        <rFont val="微软雅黑"/>
        <charset val="134"/>
      </rPr>
      <t>管理后台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培训完成、TAG 解锁、点赞/留言互动、名片访问统计，含 RGI/ER-PH 双榜单排名数据</t>
    </r>
  </si>
  <si>
    <r>
      <rPr>
        <sz val="11"/>
        <color theme="1"/>
        <rFont val="微软雅黑"/>
        <charset val="134"/>
      </rPr>
      <t>管理后台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微软雅黑"/>
        <charset val="134"/>
      </rPr>
      <t xml:space="preserve">
多产品专业培训等级维度展示（六边形雷达图）</t>
    </r>
  </si>
  <si>
    <t>其他
新系统独立部署（企微 H5 + PC 后台），开发/测试/生产环境</t>
  </si>
  <si>
    <t>其他	
系统测试		
集成测试、系统测试</t>
  </si>
  <si>
    <t>其他	
需求沟通		
沟通、需求文档</t>
  </si>
  <si>
    <t>其他	
验收发布		
项目验收和上线发布</t>
  </si>
  <si>
    <r>
      <rPr>
        <b/>
        <i/>
        <sz val="11"/>
        <color theme="1"/>
        <rFont val="Arial"/>
        <charset val="134"/>
      </rPr>
      <t>3. Others</t>
    </r>
    <r>
      <rPr>
        <b/>
        <i/>
        <sz val="11"/>
        <color theme="1"/>
        <rFont val="微软雅黑"/>
        <charset val="134"/>
      </rPr>
      <t>其他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</si>
</sst>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￥&quot;#,##0.00_);[Red]\(&quot;￥&quot;#,##0.00\)"/>
    <numFmt numFmtId="178" formatCode="#,##0_ "/>
  </numFmts>
  <fonts count="43">
    <font>
      <sz val="11"/>
      <color theme="1"/>
      <name val="等线"/>
      <charset val="134"/>
      <scheme val="minor"/>
    </font>
    <font>
      <sz val="11"/>
      <color theme="1"/>
      <name val="Arial"/>
      <charset val="134"/>
    </font>
    <font>
      <b/>
      <sz val="16"/>
      <color theme="1"/>
      <name val="Arial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sz val="1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theme="10"/>
      <name val="Arial"/>
      <charset val="134"/>
    </font>
    <font>
      <b/>
      <sz val="12"/>
      <name val="Arial"/>
      <charset val="134"/>
    </font>
    <font>
      <b/>
      <i/>
      <sz val="11"/>
      <color theme="1"/>
      <name val="Arial"/>
      <charset val="134"/>
    </font>
    <font>
      <sz val="10"/>
      <color indexed="8"/>
      <name val="微软雅黑"/>
      <charset val="134"/>
    </font>
    <font>
      <sz val="11"/>
      <color theme="1"/>
      <name val="微软雅黑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b/>
      <sz val="12"/>
      <name val="微软雅黑"/>
      <charset val="134"/>
    </font>
    <font>
      <b/>
      <sz val="12"/>
      <color rgb="FFFF0000"/>
      <name val="Arial"/>
      <charset val="134"/>
    </font>
    <font>
      <sz val="1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Arial"/>
      <charset val="134"/>
    </font>
    <font>
      <b/>
      <i/>
      <sz val="11"/>
      <color theme="1"/>
      <name val="微软雅黑"/>
      <charset val="134"/>
    </font>
    <font>
      <sz val="11"/>
      <color theme="1"/>
      <name val="宋体"/>
      <charset val="134"/>
    </font>
    <font>
      <sz val="10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2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23" applyNumberFormat="0" applyAlignment="0" applyProtection="0">
      <alignment vertical="center"/>
    </xf>
    <xf numFmtId="0" fontId="23" fillId="9" borderId="24" applyNumberFormat="0" applyAlignment="0" applyProtection="0">
      <alignment vertical="center"/>
    </xf>
    <xf numFmtId="0" fontId="24" fillId="9" borderId="23" applyNumberFormat="0" applyAlignment="0" applyProtection="0">
      <alignment vertical="center"/>
    </xf>
    <xf numFmtId="0" fontId="25" fillId="10" borderId="25" applyNumberFormat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3" fillId="0" borderId="0" applyBorder="0"/>
    <xf numFmtId="0" fontId="0" fillId="0" borderId="0"/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51" applyFont="1" applyFill="1" applyBorder="1">
      <alignment vertical="center"/>
    </xf>
    <xf numFmtId="0" fontId="1" fillId="2" borderId="2" xfId="51" applyFont="1" applyFill="1" applyBorder="1">
      <alignment vertical="center"/>
    </xf>
    <xf numFmtId="0" fontId="3" fillId="0" borderId="0" xfId="51" applyFo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4" xfId="51" applyFont="1" applyFill="1" applyBorder="1">
      <alignment vertical="center"/>
    </xf>
    <xf numFmtId="0" fontId="4" fillId="2" borderId="5" xfId="51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7" xfId="51" applyFont="1" applyBorder="1">
      <alignment vertical="center"/>
    </xf>
    <xf numFmtId="0" fontId="5" fillId="2" borderId="8" xfId="51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51" applyFont="1" applyBorder="1">
      <alignment vertical="center"/>
    </xf>
    <xf numFmtId="0" fontId="0" fillId="2" borderId="8" xfId="51" applyFill="1" applyBorder="1" applyAlignment="1">
      <alignment horizontal="left" vertical="center"/>
    </xf>
    <xf numFmtId="0" fontId="1" fillId="0" borderId="7" xfId="0" applyFont="1" applyBorder="1">
      <alignment vertical="center"/>
    </xf>
    <xf numFmtId="0" fontId="6" fillId="2" borderId="9" xfId="6" applyNumberFormat="1" applyFill="1" applyBorder="1" applyAlignment="1" applyProtection="1">
      <alignment horizontal="left" vertical="center"/>
    </xf>
    <xf numFmtId="0" fontId="7" fillId="0" borderId="0" xfId="6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4" fillId="2" borderId="10" xfId="51" applyFont="1" applyFill="1" applyBorder="1" applyAlignment="1">
      <alignment vertical="center" wrapText="1"/>
    </xf>
    <xf numFmtId="0" fontId="1" fillId="0" borderId="11" xfId="51" applyFont="1" applyBorder="1" applyAlignment="1">
      <alignment horizontal="center" vertical="center"/>
    </xf>
    <xf numFmtId="0" fontId="1" fillId="0" borderId="1" xfId="51" applyFont="1" applyBorder="1" applyAlignment="1">
      <alignment horizontal="center" vertical="center"/>
    </xf>
    <xf numFmtId="0" fontId="1" fillId="0" borderId="12" xfId="51" applyFont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3" fillId="3" borderId="16" xfId="51" applyFont="1" applyFill="1" applyBorder="1" applyAlignment="1">
      <alignment horizontal="left" vertical="center"/>
    </xf>
    <xf numFmtId="0" fontId="8" fillId="4" borderId="13" xfId="49" applyFont="1" applyFill="1" applyBorder="1" applyAlignment="1">
      <alignment horizontal="center" vertical="center" wrapText="1"/>
    </xf>
    <xf numFmtId="0" fontId="8" fillId="4" borderId="15" xfId="49" applyFont="1" applyFill="1" applyBorder="1" applyAlignment="1">
      <alignment horizontal="center" vertical="center" wrapText="1"/>
    </xf>
    <xf numFmtId="0" fontId="8" fillId="4" borderId="14" xfId="49" applyFont="1" applyFill="1" applyBorder="1" applyAlignment="1">
      <alignment horizontal="center" vertical="center" wrapText="1"/>
    </xf>
    <xf numFmtId="0" fontId="8" fillId="0" borderId="16" xfId="49" applyFont="1" applyBorder="1" applyAlignment="1">
      <alignment horizontal="center" vertical="center" wrapText="1"/>
    </xf>
    <xf numFmtId="176" fontId="8" fillId="0" borderId="16" xfId="49" applyNumberFormat="1" applyFont="1" applyBorder="1" applyAlignment="1">
      <alignment horizontal="center" vertical="center" wrapText="1"/>
    </xf>
    <xf numFmtId="9" fontId="8" fillId="0" borderId="16" xfId="49" applyNumberFormat="1" applyFont="1" applyBorder="1" applyAlignment="1">
      <alignment vertical="center" wrapText="1"/>
    </xf>
    <xf numFmtId="9" fontId="8" fillId="0" borderId="16" xfId="3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1" fillId="5" borderId="16" xfId="51" applyFont="1" applyFill="1" applyBorder="1" applyAlignment="1">
      <alignment horizontal="right" vertical="center"/>
    </xf>
    <xf numFmtId="0" fontId="1" fillId="5" borderId="16" xfId="51" applyFont="1" applyFill="1" applyBorder="1" applyAlignment="1">
      <alignment horizontal="center" vertical="center"/>
    </xf>
    <xf numFmtId="0" fontId="8" fillId="6" borderId="16" xfId="49" applyFont="1" applyFill="1" applyBorder="1" applyAlignment="1">
      <alignment horizontal="center" vertical="center" wrapText="1"/>
    </xf>
    <xf numFmtId="40" fontId="8" fillId="6" borderId="16" xfId="49" applyNumberFormat="1" applyFont="1" applyFill="1" applyBorder="1" applyAlignment="1">
      <alignment horizontal="center" vertical="center" wrapText="1"/>
    </xf>
    <xf numFmtId="38" fontId="8" fillId="6" borderId="16" xfId="49" applyNumberFormat="1" applyFont="1" applyFill="1" applyBorder="1" applyAlignment="1">
      <alignment horizontal="center" vertical="center" wrapText="1"/>
    </xf>
    <xf numFmtId="177" fontId="8" fillId="6" borderId="16" xfId="49" applyNumberFormat="1" applyFont="1" applyFill="1" applyBorder="1" applyAlignment="1">
      <alignment horizontal="center" vertical="center" wrapText="1"/>
    </xf>
    <xf numFmtId="0" fontId="1" fillId="0" borderId="16" xfId="0" applyFont="1" applyBorder="1">
      <alignment vertical="center"/>
    </xf>
    <xf numFmtId="0" fontId="10" fillId="0" borderId="16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0" fontId="1" fillId="0" borderId="16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5" borderId="13" xfId="51" applyFont="1" applyFill="1" applyBorder="1" applyAlignment="1">
      <alignment horizontal="center" vertical="center"/>
    </xf>
    <xf numFmtId="0" fontId="1" fillId="5" borderId="15" xfId="51" applyFont="1" applyFill="1" applyBorder="1" applyAlignment="1">
      <alignment horizontal="center" vertical="center"/>
    </xf>
    <xf numFmtId="0" fontId="1" fillId="5" borderId="14" xfId="51" applyFont="1" applyFill="1" applyBorder="1" applyAlignment="1">
      <alignment horizontal="center" vertical="center"/>
    </xf>
    <xf numFmtId="177" fontId="8" fillId="6" borderId="13" xfId="49" applyNumberFormat="1" applyFont="1" applyFill="1" applyBorder="1" applyAlignment="1">
      <alignment horizontal="center" vertical="center" wrapText="1"/>
    </xf>
    <xf numFmtId="177" fontId="8" fillId="6" borderId="14" xfId="49" applyNumberFormat="1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right" vertical="top"/>
    </xf>
    <xf numFmtId="0" fontId="11" fillId="0" borderId="14" xfId="0" applyFont="1" applyBorder="1" applyAlignment="1">
      <alignment horizontal="left" vertical="center" wrapText="1"/>
    </xf>
    <xf numFmtId="0" fontId="13" fillId="0" borderId="16" xfId="50" applyFont="1" applyBorder="1" applyAlignment="1">
      <alignment horizontal="left" vertical="center" wrapText="1"/>
    </xf>
    <xf numFmtId="178" fontId="14" fillId="0" borderId="13" xfId="0" applyNumberFormat="1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a__x000a_NA_x000a__x000a_" xfId="49"/>
    <cellStyle name="Normal 2" xfId="50"/>
    <cellStyle name="常规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chel.gao@loffcomm7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"/>
  <sheetViews>
    <sheetView tabSelected="1" zoomScale="75" zoomScaleNormal="75" topLeftCell="A17" workbookViewId="0">
      <selection activeCell="J18" sqref="J18"/>
    </sheetView>
  </sheetViews>
  <sheetFormatPr defaultColWidth="8.83333333333333" defaultRowHeight="14.25"/>
  <cols>
    <col min="1" max="1" width="12.1666666666667" style="1" customWidth="1"/>
    <col min="2" max="2" width="35.3333333333333" style="1" customWidth="1"/>
    <col min="3" max="3" width="10.5" style="1" customWidth="1"/>
    <col min="4" max="4" width="9.5" style="1" customWidth="1"/>
    <col min="5" max="5" width="9.83333333333333" style="1" customWidth="1"/>
    <col min="6" max="6" width="12.1666666666667" style="1" customWidth="1"/>
    <col min="7" max="7" width="9.66666666666667" style="1" customWidth="1"/>
    <col min="8" max="8" width="27.3333333333333" style="1" customWidth="1"/>
    <col min="9" max="9" width="11.3333333333333" style="1" customWidth="1"/>
    <col min="10" max="16384" width="8.83333333333333" style="1"/>
  </cols>
  <sheetData>
    <row r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4" ht="15" spans="1:9">
      <c r="A4" s="3" t="s">
        <v>1</v>
      </c>
      <c r="B4" s="4"/>
      <c r="E4" s="5" t="s">
        <v>2</v>
      </c>
      <c r="F4" s="6"/>
      <c r="G4" s="6"/>
      <c r="H4" s="6"/>
      <c r="I4" s="7"/>
    </row>
    <row r="5" ht="15" spans="1:9">
      <c r="A5" s="8"/>
      <c r="B5" s="9"/>
      <c r="E5" s="8"/>
      <c r="F5" s="10"/>
      <c r="G5" s="10"/>
      <c r="H5" s="10"/>
      <c r="I5" s="11"/>
    </row>
    <row r="6" ht="16.5" spans="1:9">
      <c r="A6" s="12" t="s">
        <v>3</v>
      </c>
      <c r="B6" s="13"/>
      <c r="E6" s="12" t="s">
        <v>4</v>
      </c>
      <c r="F6" s="14" t="s">
        <v>5</v>
      </c>
      <c r="G6" s="14"/>
      <c r="H6" s="14"/>
      <c r="I6" s="15"/>
    </row>
    <row r="7" ht="16.5" spans="1:9">
      <c r="A7" s="16" t="s">
        <v>6</v>
      </c>
      <c r="B7" s="17"/>
      <c r="E7" s="16" t="s">
        <v>7</v>
      </c>
      <c r="F7" s="14" t="s">
        <v>8</v>
      </c>
      <c r="G7" s="14"/>
      <c r="H7" s="14"/>
      <c r="I7" s="15"/>
    </row>
    <row r="8" ht="16.5" spans="1:9">
      <c r="A8" s="16" t="s">
        <v>9</v>
      </c>
      <c r="B8" s="17"/>
      <c r="E8" s="16" t="s">
        <v>9</v>
      </c>
      <c r="F8" s="14">
        <v>13761216899</v>
      </c>
      <c r="G8" s="14"/>
      <c r="H8" s="14"/>
      <c r="I8" s="15"/>
    </row>
    <row r="9" ht="16.5" spans="1:9">
      <c r="A9" s="18" t="s">
        <v>10</v>
      </c>
      <c r="B9" s="19"/>
      <c r="E9" s="18" t="s">
        <v>10</v>
      </c>
      <c r="F9" s="20" t="s">
        <v>11</v>
      </c>
      <c r="G9" s="14"/>
      <c r="H9" s="14"/>
      <c r="I9" s="15"/>
    </row>
    <row r="10" ht="16.5" spans="1:9">
      <c r="A10" s="18" t="s">
        <v>12</v>
      </c>
      <c r="B10" s="9"/>
      <c r="E10" s="16" t="s">
        <v>13</v>
      </c>
      <c r="F10" s="14" t="s">
        <v>14</v>
      </c>
      <c r="G10" s="14"/>
      <c r="H10" s="14"/>
      <c r="I10" s="15"/>
    </row>
    <row r="11" spans="1:9">
      <c r="A11" s="21"/>
      <c r="B11" s="22"/>
      <c r="C11" s="21"/>
      <c r="D11" s="21"/>
      <c r="E11" s="23"/>
      <c r="F11" s="24"/>
      <c r="G11" s="24"/>
      <c r="H11" s="24"/>
      <c r="I11" s="25"/>
    </row>
    <row r="13" ht="15" spans="1:9">
      <c r="A13" s="26" t="s">
        <v>15</v>
      </c>
      <c r="B13" s="27"/>
      <c r="C13" s="28" t="s">
        <v>16</v>
      </c>
      <c r="D13" s="29"/>
      <c r="E13" s="29"/>
      <c r="F13" s="29"/>
      <c r="G13" s="29"/>
      <c r="H13" s="29"/>
      <c r="I13" s="30"/>
    </row>
    <row r="14" ht="15" spans="1:9">
      <c r="A14" s="26" t="s">
        <v>17</v>
      </c>
      <c r="B14" s="27"/>
      <c r="C14" s="28"/>
      <c r="D14" s="29"/>
      <c r="E14" s="29"/>
      <c r="F14" s="29"/>
      <c r="G14" s="29"/>
      <c r="H14" s="29"/>
      <c r="I14" s="30"/>
    </row>
    <row r="15" ht="15" spans="1:9">
      <c r="A15" s="31" t="s">
        <v>18</v>
      </c>
      <c r="B15" s="31"/>
      <c r="C15" s="28"/>
      <c r="D15" s="29"/>
      <c r="E15" s="29"/>
      <c r="F15" s="29"/>
      <c r="G15" s="29"/>
      <c r="H15" s="29"/>
      <c r="I15" s="30"/>
    </row>
    <row r="16" ht="15" spans="1:9">
      <c r="A16" s="31" t="s">
        <v>19</v>
      </c>
      <c r="B16" s="31"/>
      <c r="C16" s="28"/>
      <c r="D16" s="29"/>
      <c r="E16" s="29"/>
      <c r="F16" s="29"/>
      <c r="G16" s="29"/>
      <c r="H16" s="29"/>
      <c r="I16" s="30"/>
    </row>
    <row r="17" ht="15" spans="1:9">
      <c r="A17" s="31" t="s">
        <v>20</v>
      </c>
      <c r="B17" s="31"/>
      <c r="C17" s="28"/>
      <c r="D17" s="29"/>
      <c r="E17" s="29"/>
      <c r="F17" s="29"/>
      <c r="G17" s="29"/>
      <c r="H17" s="29"/>
      <c r="I17" s="30"/>
    </row>
    <row r="19" ht="15.75" spans="1:9">
      <c r="A19" s="32" t="s">
        <v>21</v>
      </c>
      <c r="B19" s="33"/>
      <c r="C19" s="33"/>
      <c r="D19" s="33"/>
      <c r="E19" s="33"/>
      <c r="F19" s="33"/>
      <c r="G19" s="33"/>
      <c r="H19" s="33"/>
      <c r="I19" s="34"/>
    </row>
    <row r="20" ht="15.75" spans="1:9">
      <c r="A20" s="35" t="s">
        <v>22</v>
      </c>
      <c r="B20" s="35"/>
      <c r="C20" s="35"/>
      <c r="D20" s="35"/>
      <c r="E20" s="36">
        <f>G29+G37+G63</f>
        <v>0</v>
      </c>
      <c r="F20" s="35"/>
      <c r="G20" s="35"/>
      <c r="H20" s="35"/>
      <c r="I20" s="35"/>
    </row>
    <row r="21" ht="15.75" spans="1:9">
      <c r="A21" s="35" t="s">
        <v>23</v>
      </c>
      <c r="B21" s="35"/>
      <c r="C21" s="35"/>
      <c r="D21" s="35"/>
      <c r="E21" s="37">
        <v>0.06</v>
      </c>
      <c r="F21" s="35">
        <f>E20*E21</f>
        <v>0</v>
      </c>
      <c r="G21" s="35"/>
      <c r="H21" s="35"/>
      <c r="I21" s="35"/>
    </row>
    <row r="22" ht="15.75" spans="1:9">
      <c r="A22" s="35" t="s">
        <v>24</v>
      </c>
      <c r="B22" s="35"/>
      <c r="C22" s="35"/>
      <c r="D22" s="35"/>
      <c r="E22" s="36">
        <f>E20+F21</f>
        <v>0</v>
      </c>
      <c r="F22" s="35"/>
      <c r="G22" s="35"/>
      <c r="H22" s="35"/>
      <c r="I22" s="35"/>
    </row>
    <row r="23" ht="15.75" spans="1:9">
      <c r="A23" s="35" t="s">
        <v>25</v>
      </c>
      <c r="B23" s="35"/>
      <c r="C23" s="35"/>
      <c r="D23" s="35"/>
      <c r="E23" s="36">
        <f>E20</f>
        <v>0</v>
      </c>
      <c r="F23" s="35"/>
      <c r="G23" s="35"/>
      <c r="H23" s="35"/>
      <c r="I23" s="35"/>
    </row>
    <row r="24" ht="15.75" spans="1:9">
      <c r="A24" s="35" t="s">
        <v>26</v>
      </c>
      <c r="B24" s="35"/>
      <c r="C24" s="35"/>
      <c r="D24" s="35"/>
      <c r="E24" s="38" t="e">
        <f>E23/E20</f>
        <v>#DIV/0!</v>
      </c>
      <c r="F24" s="38"/>
      <c r="G24" s="38"/>
      <c r="H24" s="38"/>
      <c r="I24" s="38"/>
    </row>
    <row r="26" ht="16.5" spans="1:9">
      <c r="A26" s="39" t="s">
        <v>27</v>
      </c>
      <c r="B26" s="28" t="s">
        <v>28</v>
      </c>
      <c r="C26" s="29"/>
      <c r="D26" s="29"/>
      <c r="E26" s="29"/>
      <c r="F26" s="29"/>
      <c r="G26" s="29"/>
      <c r="H26" s="29"/>
      <c r="I26" s="30"/>
    </row>
    <row r="27" ht="16.5" spans="1:9">
      <c r="A27" s="40"/>
      <c r="B27" s="28" t="s">
        <v>29</v>
      </c>
      <c r="C27" s="29"/>
      <c r="D27" s="29"/>
      <c r="E27" s="29"/>
      <c r="F27" s="29"/>
      <c r="G27" s="29"/>
      <c r="H27" s="29"/>
      <c r="I27" s="30"/>
    </row>
    <row r="29" ht="16.5" spans="1:9">
      <c r="A29" s="41" t="s">
        <v>30</v>
      </c>
      <c r="B29" s="42"/>
      <c r="C29" s="43"/>
      <c r="D29" s="44" t="s">
        <v>31</v>
      </c>
      <c r="E29" s="44"/>
      <c r="F29" s="44"/>
      <c r="G29" s="45">
        <f>SUM(F31:F35)</f>
        <v>0</v>
      </c>
      <c r="H29" s="45"/>
      <c r="I29" s="45"/>
    </row>
    <row r="30" ht="18" spans="1:9">
      <c r="A30" s="46" t="s">
        <v>32</v>
      </c>
      <c r="B30" s="46" t="s">
        <v>33</v>
      </c>
      <c r="C30" s="47" t="s">
        <v>34</v>
      </c>
      <c r="D30" s="48" t="s">
        <v>35</v>
      </c>
      <c r="E30" s="48" t="s">
        <v>36</v>
      </c>
      <c r="F30" s="47" t="s">
        <v>37</v>
      </c>
      <c r="G30" s="49" t="s">
        <v>38</v>
      </c>
      <c r="H30" s="49"/>
      <c r="I30" s="48" t="s">
        <v>39</v>
      </c>
    </row>
    <row r="31" ht="48" customHeight="1" spans="1:9">
      <c r="A31" s="50"/>
      <c r="B31" s="51"/>
      <c r="C31" s="50"/>
      <c r="D31" s="52"/>
      <c r="E31" s="50"/>
      <c r="F31" s="50"/>
      <c r="G31" s="53"/>
      <c r="H31" s="54"/>
      <c r="I31" s="55"/>
    </row>
    <row r="32" spans="1:9">
      <c r="A32" s="56"/>
      <c r="B32" s="50"/>
      <c r="C32" s="50"/>
      <c r="D32" s="50"/>
      <c r="E32" s="50"/>
      <c r="F32" s="50">
        <f t="shared" ref="F32:F35" si="0">C32*D32</f>
        <v>0</v>
      </c>
      <c r="G32" s="57"/>
      <c r="H32" s="57"/>
      <c r="I32" s="58"/>
    </row>
    <row r="33" spans="1:9">
      <c r="A33" s="50"/>
      <c r="B33" s="50"/>
      <c r="C33" s="50"/>
      <c r="D33" s="50"/>
      <c r="E33" s="50"/>
      <c r="F33" s="50">
        <f t="shared" si="0"/>
        <v>0</v>
      </c>
      <c r="G33" s="57"/>
      <c r="H33" s="57"/>
      <c r="I33" s="50"/>
    </row>
    <row r="34" spans="1:9">
      <c r="A34" s="50"/>
      <c r="B34" s="50"/>
      <c r="C34" s="50"/>
      <c r="D34" s="50"/>
      <c r="E34" s="50"/>
      <c r="F34" s="50">
        <f t="shared" si="0"/>
        <v>0</v>
      </c>
      <c r="G34" s="57"/>
      <c r="H34" s="57"/>
      <c r="I34" s="50"/>
    </row>
    <row r="35" spans="1:9">
      <c r="A35" s="50"/>
      <c r="B35" s="50"/>
      <c r="C35" s="50"/>
      <c r="D35" s="50"/>
      <c r="E35" s="50"/>
      <c r="F35" s="50">
        <f t="shared" si="0"/>
        <v>0</v>
      </c>
      <c r="G35" s="57"/>
      <c r="H35" s="57"/>
      <c r="I35" s="50"/>
    </row>
    <row r="36" spans="1:9">
      <c r="G36" s="10"/>
      <c r="H36" s="10"/>
    </row>
    <row r="37" ht="16.5" spans="1:9">
      <c r="A37" s="41" t="s">
        <v>40</v>
      </c>
      <c r="B37" s="42"/>
      <c r="C37" s="43"/>
      <c r="D37" s="44" t="s">
        <v>31</v>
      </c>
      <c r="E37" s="44"/>
      <c r="F37" s="44"/>
      <c r="G37" s="59">
        <f>SUM(F39:F61)</f>
        <v>0</v>
      </c>
      <c r="H37" s="60"/>
      <c r="I37" s="61"/>
    </row>
    <row r="38" ht="18" spans="1:9">
      <c r="A38" s="46" t="s">
        <v>32</v>
      </c>
      <c r="B38" s="46" t="s">
        <v>33</v>
      </c>
      <c r="C38" s="47" t="s">
        <v>34</v>
      </c>
      <c r="D38" s="48" t="s">
        <v>35</v>
      </c>
      <c r="E38" s="48" t="s">
        <v>36</v>
      </c>
      <c r="F38" s="47" t="s">
        <v>37</v>
      </c>
      <c r="G38" s="62" t="s">
        <v>38</v>
      </c>
      <c r="H38" s="63"/>
      <c r="I38" s="48" t="s">
        <v>39</v>
      </c>
    </row>
    <row r="39" ht="82" customHeight="1" spans="1:9">
      <c r="A39" s="50">
        <v>1</v>
      </c>
      <c r="B39" s="51"/>
      <c r="C39" s="50"/>
      <c r="D39" s="64">
        <v>2</v>
      </c>
      <c r="E39" s="50" t="s">
        <v>41</v>
      </c>
      <c r="F39" s="50">
        <f t="shared" ref="F39:F49" si="1">C39*D39</f>
        <v>0</v>
      </c>
      <c r="G39" s="53" t="s">
        <v>42</v>
      </c>
      <c r="H39" s="54"/>
      <c r="I39" s="55" t="s">
        <v>43</v>
      </c>
    </row>
    <row r="40" ht="72" customHeight="1" spans="1:9">
      <c r="A40" s="50">
        <v>2</v>
      </c>
      <c r="B40" s="51"/>
      <c r="C40" s="50"/>
      <c r="D40" s="64">
        <v>2</v>
      </c>
      <c r="E40" s="50" t="s">
        <v>41</v>
      </c>
      <c r="F40" s="50">
        <f t="shared" si="1"/>
        <v>0</v>
      </c>
      <c r="G40" s="53" t="s">
        <v>44</v>
      </c>
      <c r="H40" s="65"/>
      <c r="I40" s="55" t="s">
        <v>43</v>
      </c>
    </row>
    <row r="41" ht="78" customHeight="1" spans="1:9">
      <c r="A41" s="50">
        <v>3</v>
      </c>
      <c r="B41" s="51"/>
      <c r="C41" s="50"/>
      <c r="D41" s="64">
        <v>2</v>
      </c>
      <c r="E41" s="50" t="s">
        <v>41</v>
      </c>
      <c r="F41" s="50">
        <f t="shared" si="1"/>
        <v>0</v>
      </c>
      <c r="G41" s="53" t="s">
        <v>45</v>
      </c>
      <c r="H41" s="54"/>
      <c r="I41" s="55" t="s">
        <v>43</v>
      </c>
    </row>
    <row r="42" ht="72" customHeight="1" spans="1:9">
      <c r="A42" s="50">
        <v>4</v>
      </c>
      <c r="B42" s="51"/>
      <c r="C42" s="50"/>
      <c r="D42" s="64">
        <v>2</v>
      </c>
      <c r="E42" s="50" t="s">
        <v>41</v>
      </c>
      <c r="F42" s="50">
        <f t="shared" si="1"/>
        <v>0</v>
      </c>
      <c r="G42" s="53" t="s">
        <v>46</v>
      </c>
      <c r="H42" s="54"/>
      <c r="I42" s="55" t="s">
        <v>43</v>
      </c>
    </row>
    <row r="43" ht="93" customHeight="1" spans="1:9">
      <c r="A43" s="50">
        <v>5</v>
      </c>
      <c r="B43" s="51"/>
      <c r="C43" s="50"/>
      <c r="D43" s="64">
        <v>2</v>
      </c>
      <c r="E43" s="50" t="s">
        <v>41</v>
      </c>
      <c r="F43" s="50">
        <f t="shared" si="1"/>
        <v>0</v>
      </c>
      <c r="G43" s="53" t="s">
        <v>47</v>
      </c>
      <c r="H43" s="65"/>
      <c r="I43" s="55" t="s">
        <v>43</v>
      </c>
    </row>
    <row r="44" ht="93" customHeight="1" spans="1:9">
      <c r="A44" s="50">
        <v>6</v>
      </c>
      <c r="B44" s="51"/>
      <c r="C44" s="50"/>
      <c r="D44" s="64">
        <v>2</v>
      </c>
      <c r="E44" s="50" t="s">
        <v>41</v>
      </c>
      <c r="F44" s="50">
        <f t="shared" si="1"/>
        <v>0</v>
      </c>
      <c r="G44" s="53" t="s">
        <v>48</v>
      </c>
      <c r="H44" s="65"/>
      <c r="I44" s="55" t="s">
        <v>43</v>
      </c>
    </row>
    <row r="45" ht="93" customHeight="1" spans="1:9">
      <c r="A45" s="50">
        <v>7</v>
      </c>
      <c r="B45" s="51"/>
      <c r="C45" s="50"/>
      <c r="D45" s="64">
        <v>1</v>
      </c>
      <c r="E45" s="50" t="s">
        <v>41</v>
      </c>
      <c r="F45" s="50">
        <f t="shared" si="1"/>
        <v>0</v>
      </c>
      <c r="G45" s="53" t="s">
        <v>49</v>
      </c>
      <c r="H45" s="65"/>
      <c r="I45" s="55" t="s">
        <v>43</v>
      </c>
    </row>
    <row r="46" ht="93" customHeight="1" spans="1:9">
      <c r="A46" s="50">
        <v>8</v>
      </c>
      <c r="B46" s="51"/>
      <c r="C46" s="50"/>
      <c r="D46" s="64">
        <v>2</v>
      </c>
      <c r="E46" s="50" t="s">
        <v>41</v>
      </c>
      <c r="F46" s="50">
        <f t="shared" si="1"/>
        <v>0</v>
      </c>
      <c r="G46" s="53" t="s">
        <v>50</v>
      </c>
      <c r="H46" s="65"/>
      <c r="I46" s="55" t="s">
        <v>43</v>
      </c>
    </row>
    <row r="47" ht="93" customHeight="1" spans="1:9">
      <c r="A47" s="50">
        <v>9</v>
      </c>
      <c r="B47" s="51"/>
      <c r="C47" s="50"/>
      <c r="D47" s="64">
        <v>3</v>
      </c>
      <c r="E47" s="50" t="s">
        <v>41</v>
      </c>
      <c r="F47" s="50">
        <f t="shared" ref="F47:F60" si="2">C47*D47</f>
        <v>0</v>
      </c>
      <c r="G47" s="53" t="s">
        <v>51</v>
      </c>
      <c r="H47" s="54"/>
      <c r="I47" s="55" t="s">
        <v>43</v>
      </c>
    </row>
    <row r="48" ht="93" customHeight="1" spans="1:9">
      <c r="A48" s="50">
        <v>10</v>
      </c>
      <c r="B48" s="51"/>
      <c r="C48" s="50"/>
      <c r="D48" s="64">
        <v>2</v>
      </c>
      <c r="E48" s="50" t="s">
        <v>41</v>
      </c>
      <c r="F48" s="50">
        <f t="shared" si="2"/>
        <v>0</v>
      </c>
      <c r="G48" s="53" t="s">
        <v>52</v>
      </c>
      <c r="H48" s="54"/>
      <c r="I48" s="55" t="s">
        <v>43</v>
      </c>
    </row>
    <row r="49" ht="64" customHeight="1" spans="1:9">
      <c r="A49" s="50">
        <v>11</v>
      </c>
      <c r="B49" s="51"/>
      <c r="C49" s="50"/>
      <c r="D49" s="64">
        <v>2</v>
      </c>
      <c r="E49" s="50" t="s">
        <v>41</v>
      </c>
      <c r="F49" s="50">
        <f t="shared" si="2"/>
        <v>0</v>
      </c>
      <c r="G49" s="53" t="s">
        <v>53</v>
      </c>
      <c r="H49" s="54"/>
      <c r="I49" s="55" t="s">
        <v>43</v>
      </c>
    </row>
    <row r="50" ht="64" customHeight="1" spans="1:9">
      <c r="A50" s="50">
        <v>12</v>
      </c>
      <c r="B50" s="51"/>
      <c r="C50" s="50"/>
      <c r="D50" s="64">
        <v>2</v>
      </c>
      <c r="E50" s="50" t="s">
        <v>41</v>
      </c>
      <c r="F50" s="50">
        <f t="shared" si="2"/>
        <v>0</v>
      </c>
      <c r="G50" s="53" t="s">
        <v>54</v>
      </c>
      <c r="H50" s="54"/>
      <c r="I50" s="55" t="s">
        <v>43</v>
      </c>
    </row>
    <row r="51" ht="64" customHeight="1" spans="1:9">
      <c r="A51" s="50">
        <v>13</v>
      </c>
      <c r="B51" s="51"/>
      <c r="C51" s="50"/>
      <c r="D51" s="64">
        <v>3</v>
      </c>
      <c r="E51" s="50" t="s">
        <v>41</v>
      </c>
      <c r="F51" s="50">
        <f t="shared" si="2"/>
        <v>0</v>
      </c>
      <c r="G51" s="53" t="s">
        <v>55</v>
      </c>
      <c r="H51" s="54"/>
      <c r="I51" s="55" t="s">
        <v>43</v>
      </c>
    </row>
    <row r="52" ht="64" customHeight="1" spans="1:9">
      <c r="A52" s="50">
        <v>14</v>
      </c>
      <c r="B52" s="51"/>
      <c r="C52" s="50"/>
      <c r="D52" s="64">
        <v>2</v>
      </c>
      <c r="E52" s="50" t="s">
        <v>41</v>
      </c>
      <c r="F52" s="50">
        <f t="shared" si="2"/>
        <v>0</v>
      </c>
      <c r="G52" s="53" t="s">
        <v>56</v>
      </c>
      <c r="H52" s="54"/>
      <c r="I52" s="55" t="s">
        <v>43</v>
      </c>
    </row>
    <row r="53" ht="64" customHeight="1" spans="1:9">
      <c r="A53" s="50">
        <v>15</v>
      </c>
      <c r="B53" s="51"/>
      <c r="C53" s="50"/>
      <c r="D53" s="64">
        <v>1</v>
      </c>
      <c r="E53" s="50" t="s">
        <v>41</v>
      </c>
      <c r="F53" s="50">
        <f t="shared" si="2"/>
        <v>0</v>
      </c>
      <c r="G53" s="53" t="s">
        <v>57</v>
      </c>
      <c r="H53" s="54"/>
      <c r="I53" s="55" t="s">
        <v>43</v>
      </c>
    </row>
    <row r="54" ht="64" customHeight="1" spans="1:9">
      <c r="A54" s="50">
        <v>16</v>
      </c>
      <c r="B54" s="51"/>
      <c r="C54" s="50"/>
      <c r="D54" s="64">
        <v>2</v>
      </c>
      <c r="E54" s="50" t="s">
        <v>41</v>
      </c>
      <c r="F54" s="50">
        <f t="shared" si="2"/>
        <v>0</v>
      </c>
      <c r="G54" s="53" t="s">
        <v>58</v>
      </c>
      <c r="H54" s="54"/>
      <c r="I54" s="55" t="s">
        <v>43</v>
      </c>
    </row>
    <row r="55" ht="64" customHeight="1" spans="1:9">
      <c r="A55" s="50">
        <v>17</v>
      </c>
      <c r="B55" s="51"/>
      <c r="C55" s="50"/>
      <c r="D55" s="64">
        <v>2</v>
      </c>
      <c r="E55" s="50" t="s">
        <v>41</v>
      </c>
      <c r="F55" s="50">
        <f t="shared" si="2"/>
        <v>0</v>
      </c>
      <c r="G55" s="53" t="s">
        <v>59</v>
      </c>
      <c r="H55" s="54"/>
      <c r="I55" s="55" t="s">
        <v>43</v>
      </c>
    </row>
    <row r="56" ht="64" customHeight="1" spans="1:9">
      <c r="A56" s="50">
        <v>18</v>
      </c>
      <c r="B56" s="51"/>
      <c r="C56" s="50"/>
      <c r="D56" s="64">
        <v>1</v>
      </c>
      <c r="E56" s="50" t="s">
        <v>41</v>
      </c>
      <c r="F56" s="50">
        <f t="shared" si="2"/>
        <v>0</v>
      </c>
      <c r="G56" s="53" t="s">
        <v>60</v>
      </c>
      <c r="H56" s="54"/>
      <c r="I56" s="55" t="s">
        <v>43</v>
      </c>
    </row>
    <row r="57" ht="64" customHeight="1" spans="1:9">
      <c r="A57" s="50">
        <v>19</v>
      </c>
      <c r="B57" s="51"/>
      <c r="C57" s="50"/>
      <c r="D57" s="64">
        <v>2</v>
      </c>
      <c r="E57" s="50" t="s">
        <v>41</v>
      </c>
      <c r="F57" s="50">
        <f t="shared" si="2"/>
        <v>0</v>
      </c>
      <c r="G57" s="53" t="s">
        <v>61</v>
      </c>
      <c r="H57" s="54"/>
      <c r="I57" s="55" t="s">
        <v>43</v>
      </c>
    </row>
    <row r="58" ht="64" customHeight="1" spans="1:9">
      <c r="A58" s="50">
        <v>20</v>
      </c>
      <c r="B58" s="51"/>
      <c r="C58" s="50"/>
      <c r="D58" s="64">
        <v>6</v>
      </c>
      <c r="E58" s="50" t="s">
        <v>41</v>
      </c>
      <c r="F58" s="50">
        <f t="shared" si="2"/>
        <v>0</v>
      </c>
      <c r="G58" s="53" t="s">
        <v>62</v>
      </c>
      <c r="H58" s="54"/>
      <c r="I58" s="55" t="s">
        <v>43</v>
      </c>
    </row>
    <row r="59" ht="65" customHeight="1" spans="1:9">
      <c r="A59" s="50">
        <v>21</v>
      </c>
      <c r="B59" s="51"/>
      <c r="C59" s="50"/>
      <c r="D59" s="64">
        <v>4</v>
      </c>
      <c r="E59" s="50" t="s">
        <v>41</v>
      </c>
      <c r="F59" s="50">
        <f t="shared" si="2"/>
        <v>0</v>
      </c>
      <c r="G59" s="53" t="s">
        <v>63</v>
      </c>
      <c r="H59" s="54"/>
      <c r="I59" s="55" t="s">
        <v>43</v>
      </c>
    </row>
    <row r="60" ht="67" customHeight="1" spans="1:9">
      <c r="A60" s="50">
        <v>22</v>
      </c>
      <c r="B60" s="51"/>
      <c r="C60" s="50"/>
      <c r="D60" s="64">
        <v>3</v>
      </c>
      <c r="E60" s="50" t="s">
        <v>41</v>
      </c>
      <c r="F60" s="50">
        <f t="shared" si="2"/>
        <v>0</v>
      </c>
      <c r="G60" s="53" t="s">
        <v>64</v>
      </c>
      <c r="H60" s="54"/>
      <c r="I60" s="55" t="s">
        <v>43</v>
      </c>
    </row>
    <row r="61" spans="1:9">
      <c r="A61" s="55"/>
      <c r="B61" s="66"/>
      <c r="C61" s="67"/>
      <c r="D61" s="68"/>
      <c r="E61" s="69"/>
      <c r="F61" s="69"/>
      <c r="G61" s="28"/>
      <c r="H61" s="30"/>
      <c r="I61" s="55"/>
    </row>
    <row r="62" spans="1:9">
      <c r="A62" s="50"/>
      <c r="B62" s="50"/>
      <c r="C62" s="50"/>
      <c r="D62" s="50"/>
      <c r="E62" s="50"/>
      <c r="F62" s="50"/>
      <c r="G62" s="70"/>
      <c r="H62" s="71"/>
      <c r="I62" s="50"/>
    </row>
    <row r="63" ht="16.5" spans="1:9">
      <c r="A63" s="72" t="s">
        <v>65</v>
      </c>
      <c r="B63" s="72"/>
      <c r="C63" s="72"/>
      <c r="D63" s="44" t="s">
        <v>31</v>
      </c>
      <c r="E63" s="44"/>
      <c r="F63" s="44"/>
      <c r="G63" s="59">
        <f>SUM(F65:F66)</f>
        <v>0</v>
      </c>
      <c r="H63" s="60"/>
      <c r="I63" s="61"/>
    </row>
    <row r="64" ht="18" spans="1:9">
      <c r="A64" s="46" t="s">
        <v>32</v>
      </c>
      <c r="B64" s="46" t="s">
        <v>33</v>
      </c>
      <c r="C64" s="47" t="s">
        <v>34</v>
      </c>
      <c r="D64" s="48" t="s">
        <v>35</v>
      </c>
      <c r="E64" s="48" t="s">
        <v>36</v>
      </c>
      <c r="F64" s="47" t="s">
        <v>37</v>
      </c>
      <c r="G64" s="62" t="s">
        <v>38</v>
      </c>
      <c r="H64" s="63"/>
      <c r="I64" s="48" t="s">
        <v>39</v>
      </c>
    </row>
    <row r="65" ht="25" customHeight="1" spans="1:9">
      <c r="A65" s="50"/>
      <c r="B65" s="50"/>
      <c r="C65" s="50"/>
      <c r="D65" s="50"/>
      <c r="E65" s="50"/>
      <c r="F65" s="50"/>
      <c r="G65" s="70"/>
      <c r="H65" s="71"/>
      <c r="I65" s="55"/>
    </row>
    <row r="66" ht="25" customHeight="1" spans="1:9">
      <c r="A66" s="50"/>
      <c r="B66" s="50"/>
      <c r="C66" s="50"/>
      <c r="D66" s="50"/>
      <c r="E66" s="50"/>
      <c r="F66" s="50">
        <f t="shared" ref="F66" si="3">C66*D66</f>
        <v>0</v>
      </c>
      <c r="G66" s="70"/>
      <c r="H66" s="71"/>
      <c r="I66" s="50"/>
    </row>
  </sheetData>
  <protectedRanges>
    <protectedRange sqref="H11 D6:D9" name="区域8"/>
    <protectedRange sqref="H11 D6:D9" name="区域6"/>
    <protectedRange sqref="H11 D6:D9" name="区域1"/>
    <protectedRange sqref="H11 D6:D9" name="区域7"/>
    <protectedRange sqref="B13:B14" name="区域8_1"/>
    <protectedRange sqref="B13:B14" name="区域6_1"/>
    <protectedRange sqref="B13:B14" name="区域1_1"/>
    <protectedRange sqref="B13:B14" name="区域7_1"/>
    <protectedRange sqref="H6:I6 H10:I10" name="区域8_3"/>
    <protectedRange sqref="H6:I6 H10:I10" name="区域6_3"/>
    <protectedRange sqref="H6:I6 H10:I10" name="区域1_3"/>
    <protectedRange sqref="H6:I6 H10:I10" name="区域7_3"/>
    <protectedRange sqref="H7:I9" name="区域8_3_1"/>
    <protectedRange sqref="H7:I9" name="区域6_3_1"/>
    <protectedRange sqref="H7:I9" name="区域1_3_1"/>
    <protectedRange sqref="H7:I9" name="区域7_3_1"/>
    <protectedRange sqref="B6:B9" name="区域8_2_2"/>
    <protectedRange sqref="B6:B9" name="区域6_2_2"/>
    <protectedRange sqref="B6:B9" name="区域1_2_2"/>
    <protectedRange sqref="B6:B9" name="区域7_2_2"/>
  </protectedRanges>
  <mergeCells count="76">
    <mergeCell ref="F4:I4"/>
    <mergeCell ref="F5:I5"/>
    <mergeCell ref="F6:I6"/>
    <mergeCell ref="F7:I7"/>
    <mergeCell ref="F8:I8"/>
    <mergeCell ref="F9:I9"/>
    <mergeCell ref="F10:I10"/>
    <mergeCell ref="E11:I11"/>
    <mergeCell ref="A13:B13"/>
    <mergeCell ref="C13:I13"/>
    <mergeCell ref="A14:B14"/>
    <mergeCell ref="C14:I14"/>
    <mergeCell ref="A15:B15"/>
    <mergeCell ref="C15:I15"/>
    <mergeCell ref="A16:B16"/>
    <mergeCell ref="C16:I16"/>
    <mergeCell ref="A17:B17"/>
    <mergeCell ref="C17:I17"/>
    <mergeCell ref="A19:I19"/>
    <mergeCell ref="A20:D20"/>
    <mergeCell ref="E20:I20"/>
    <mergeCell ref="A21:D21"/>
    <mergeCell ref="F21:I21"/>
    <mergeCell ref="A22:D22"/>
    <mergeCell ref="E22:I22"/>
    <mergeCell ref="A23:D23"/>
    <mergeCell ref="E23:I23"/>
    <mergeCell ref="A24:D24"/>
    <mergeCell ref="E24:I24"/>
    <mergeCell ref="B26:I26"/>
    <mergeCell ref="B27:I27"/>
    <mergeCell ref="A29:C29"/>
    <mergeCell ref="D29:F29"/>
    <mergeCell ref="G29:I29"/>
    <mergeCell ref="G30:H30"/>
    <mergeCell ref="G31:H31"/>
    <mergeCell ref="G32:H32"/>
    <mergeCell ref="G33:H33"/>
    <mergeCell ref="G34:H34"/>
    <mergeCell ref="G35:H35"/>
    <mergeCell ref="A37:C37"/>
    <mergeCell ref="D37:F37"/>
    <mergeCell ref="G37:I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A63:C63"/>
    <mergeCell ref="D63:F63"/>
    <mergeCell ref="G63:I63"/>
    <mergeCell ref="G64:H64"/>
    <mergeCell ref="G65:H65"/>
    <mergeCell ref="G66:H66"/>
    <mergeCell ref="A26:A27"/>
    <mergeCell ref="A1:I2"/>
  </mergeCells>
  <hyperlinks>
    <hyperlink ref="F9" r:id="rId1" display="rachel.gao@loffcomm7.com"/>
  </hyperlink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8" rangeCreator="" othersAccessPermission="edit"/>
    <arrUserId title="区域6" rangeCreator="" othersAccessPermission="edit"/>
    <arrUserId title="区域1" rangeCreator="" othersAccessPermission="edit"/>
    <arrUserId title="区域7" rangeCreator="" othersAccessPermission="edit"/>
    <arrUserId title="区域8_1" rangeCreator="" othersAccessPermission="edit"/>
    <arrUserId title="区域6_1" rangeCreator="" othersAccessPermission="edit"/>
    <arrUserId title="区域1_1" rangeCreator="" othersAccessPermission="edit"/>
    <arrUserId title="区域7_1" rangeCreator="" othersAccessPermission="edit"/>
    <arrUserId title="区域8_3" rangeCreator="" othersAccessPermission="edit"/>
    <arrUserId title="区域6_3" rangeCreator="" othersAccessPermission="edit"/>
    <arrUserId title="区域1_3" rangeCreator="" othersAccessPermission="edit"/>
    <arrUserId title="区域7_3" rangeCreator="" othersAccessPermission="edit"/>
    <arrUserId title="区域8_3_1" rangeCreator="" othersAccessPermission="edit"/>
    <arrUserId title="区域6_3_1" rangeCreator="" othersAccessPermission="edit"/>
    <arrUserId title="区域1_3_1" rangeCreator="" othersAccessPermission="edit"/>
    <arrUserId title="区域7_3_1" rangeCreator="" othersAccessPermission="edit"/>
    <arrUserId title="区域8_2_2" rangeCreator="" othersAccessPermission="edit"/>
    <arrUserId title="区域6_2_2" rangeCreator="" othersAccessPermission="edit"/>
    <arrUserId title="区域1_2_2" rangeCreator="" othersAccessPermission="edit"/>
    <arrUserId title="区域7_2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Jessie [SH12]</dc:creator>
  <cp:lastModifiedBy>ｍｉｎｇ</cp:lastModifiedBy>
  <dcterms:created xsi:type="dcterms:W3CDTF">2021-06-16T08:08:00Z</dcterms:created>
  <dcterms:modified xsi:type="dcterms:W3CDTF">2026-09-15T01:18:00Z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BFFEEED9589DDA58A9212666C3290C6C_43</vt:lpwstr>
  </property>
  <property fmtid="{D5CDD505-2E9C-101B-9397-08002B2CF9AE}" pid="4" name="CalculationRule">
    <vt:i4>0</vt:i4>
  </property>
</Properties>
</file>
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rachel/Desktop/"/>
    </mc:Choice>
  </mc:AlternateContent>
  <xr:revisionPtr revIDLastSave="0" documentId="13_ncr:1_{7EA61FC8-1ECA-B648-9C78-BF1C9156406D}" xr6:coauthVersionLast="47" xr6:coauthVersionMax="47" xr10:uidLastSave="{00000000-0000-0000-0000-000000000000}"/>
  <bookViews>
    <workbookView xWindow="5840" yWindow="660" windowWidth="27920" windowHeight="17520" xr2:uid="{00000000-000D-0000-FFFF-FFFF00000000}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44" i="1"/>
  <c r="F49" i="1"/>
  <c r="F40" i="1"/>
  <c r="F41" i="1"/>
  <c r="F42" i="1"/>
  <c r="F45" i="1"/>
  <c r="F46" i="1"/>
  <c r="F47" i="1"/>
  <c r="F48" i="1"/>
  <c r="F39" i="1"/>
  <c r="F55" i="1"/>
  <c r="F35" i="1"/>
  <c r="F34" i="1"/>
  <c r="F33" i="1"/>
  <c r="F32" i="1"/>
  <c r="G52" i="1" l="1"/>
  <c r="G37" i="1"/>
  <c r="G29" i="1"/>
  <c r="E20" i="1" l="1"/>
  <c r="E23" i="1" s="1"/>
  <c r="E24" i="1" s="1"/>
  <c r="F21" i="1" l="1"/>
  <c r="E22" i="1" s="1"/>
</calcChain>
</file>

<file path=xl/sharedStrings.xml><?xml version="1.0" encoding="utf-8"?>
<sst xmlns="http://schemas.openxmlformats.org/spreadsheetml/2006/main" count="94" uniqueCount="54">
  <si>
    <t>2. Digital Technology</t>
  </si>
  <si>
    <t>Rachel Gao</t>
  </si>
  <si>
    <t>rachel.gao@loffcomm7.com</t>
  </si>
  <si>
    <t>1. Digital Content</t>
    <phoneticPr fontId="6" type="noConversion"/>
  </si>
  <si>
    <r>
      <rPr>
        <b/>
        <sz val="16"/>
        <color theme="1"/>
        <rFont val="微软雅黑"/>
        <family val="2"/>
        <charset val="134"/>
      </rPr>
      <t>报价单</t>
    </r>
  </si>
  <si>
    <r>
      <rPr>
        <b/>
        <sz val="11"/>
        <color theme="1"/>
        <rFont val="微软雅黑"/>
        <family val="2"/>
        <charset val="134"/>
      </rPr>
      <t>用户信息</t>
    </r>
  </si>
  <si>
    <r>
      <rPr>
        <b/>
        <sz val="11"/>
        <color theme="1"/>
        <rFont val="微软雅黑"/>
        <family val="2"/>
        <charset val="134"/>
      </rPr>
      <t>供应商信息</t>
    </r>
  </si>
  <si>
    <r>
      <rPr>
        <sz val="11"/>
        <rFont val="微软雅黑"/>
        <family val="2"/>
        <charset val="134"/>
      </rPr>
      <t>部门</t>
    </r>
  </si>
  <si>
    <r>
      <rPr>
        <sz val="11"/>
        <rFont val="微软雅黑"/>
        <family val="2"/>
        <charset val="134"/>
      </rPr>
      <t>供应商名称</t>
    </r>
  </si>
  <si>
    <r>
      <rPr>
        <sz val="11"/>
        <color theme="1"/>
        <rFont val="微软雅黑"/>
        <family val="2"/>
        <charset val="134"/>
      </rPr>
      <t>上海乐梵企业营销策划有限公司</t>
    </r>
  </si>
  <si>
    <r>
      <rPr>
        <sz val="11"/>
        <color theme="1"/>
        <rFont val="微软雅黑"/>
        <family val="2"/>
        <charset val="134"/>
      </rPr>
      <t>申请人</t>
    </r>
  </si>
  <si>
    <r>
      <rPr>
        <sz val="11"/>
        <color theme="1"/>
        <rFont val="微软雅黑"/>
        <family val="2"/>
        <charset val="134"/>
      </rPr>
      <t>联系人</t>
    </r>
  </si>
  <si>
    <r>
      <rPr>
        <sz val="11"/>
        <color theme="1"/>
        <rFont val="微软雅黑"/>
        <family val="2"/>
        <charset val="134"/>
      </rPr>
      <t>联系电话</t>
    </r>
  </si>
  <si>
    <r>
      <rPr>
        <sz val="11"/>
        <color theme="1"/>
        <rFont val="微软雅黑"/>
        <family val="2"/>
        <charset val="134"/>
      </rPr>
      <t>邮箱</t>
    </r>
  </si>
  <si>
    <r>
      <rPr>
        <sz val="11"/>
        <color theme="1"/>
        <rFont val="微软雅黑"/>
        <family val="2"/>
        <charset val="134"/>
      </rPr>
      <t>申请时间</t>
    </r>
  </si>
  <si>
    <r>
      <rPr>
        <sz val="11"/>
        <color theme="1"/>
        <rFont val="微软雅黑"/>
        <family val="2"/>
        <charset val="134"/>
      </rPr>
      <t>报价日期</t>
    </r>
  </si>
  <si>
    <r>
      <rPr>
        <b/>
        <sz val="11"/>
        <color theme="1"/>
        <rFont val="微软雅黑"/>
        <family val="2"/>
        <charset val="134"/>
      </rPr>
      <t>项目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微软雅黑"/>
        <family val="2"/>
        <charset val="134"/>
      </rPr>
      <t>活动名称</t>
    </r>
  </si>
  <si>
    <r>
      <rPr>
        <b/>
        <sz val="11"/>
        <color theme="1"/>
        <rFont val="微软雅黑"/>
        <family val="2"/>
        <charset val="134"/>
      </rPr>
      <t>项目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微软雅黑"/>
        <family val="2"/>
        <charset val="134"/>
      </rPr>
      <t>活动时间（周期）</t>
    </r>
  </si>
  <si>
    <r>
      <rPr>
        <b/>
        <sz val="11"/>
        <color theme="1"/>
        <rFont val="微软雅黑"/>
        <family val="2"/>
        <charset val="134"/>
      </rPr>
      <t>项目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微软雅黑"/>
        <family val="2"/>
        <charset val="134"/>
      </rPr>
      <t>活动地点</t>
    </r>
  </si>
  <si>
    <r>
      <rPr>
        <b/>
        <sz val="11"/>
        <color theme="1"/>
        <rFont val="微软雅黑"/>
        <family val="2"/>
        <charset val="134"/>
      </rPr>
      <t>是否</t>
    </r>
    <r>
      <rPr>
        <b/>
        <sz val="11"/>
        <color theme="1"/>
        <rFont val="Arial"/>
        <family val="2"/>
      </rPr>
      <t>Involve IT</t>
    </r>
  </si>
  <si>
    <r>
      <rPr>
        <b/>
        <sz val="11"/>
        <color theme="1"/>
        <rFont val="微软雅黑"/>
        <family val="2"/>
        <charset val="134"/>
      </rPr>
      <t>是否涉及</t>
    </r>
    <r>
      <rPr>
        <b/>
        <sz val="11"/>
        <color theme="1"/>
        <rFont val="Arial"/>
        <family val="2"/>
      </rPr>
      <t>HCP</t>
    </r>
    <r>
      <rPr>
        <b/>
        <sz val="11"/>
        <color theme="1"/>
        <rFont val="微软雅黑"/>
        <family val="2"/>
        <charset val="134"/>
      </rPr>
      <t>或</t>
    </r>
    <r>
      <rPr>
        <b/>
        <sz val="11"/>
        <color theme="1"/>
        <rFont val="Arial"/>
        <family val="2"/>
      </rPr>
      <t>HCO</t>
    </r>
  </si>
  <si>
    <r>
      <rPr>
        <b/>
        <sz val="12"/>
        <rFont val="微软雅黑"/>
        <family val="2"/>
        <charset val="134"/>
      </rPr>
      <t>报价汇总</t>
    </r>
  </si>
  <si>
    <r>
      <rPr>
        <b/>
        <sz val="12"/>
        <rFont val="微软雅黑"/>
        <family val="2"/>
        <charset val="134"/>
      </rPr>
      <t>人民币不含税总计</t>
    </r>
  </si>
  <si>
    <r>
      <rPr>
        <b/>
        <sz val="12"/>
        <rFont val="微软雅黑"/>
        <family val="2"/>
        <charset val="134"/>
      </rPr>
      <t>税费</t>
    </r>
    <r>
      <rPr>
        <b/>
        <sz val="12"/>
        <color rgb="FFFF0000"/>
        <rFont val="Arial"/>
        <family val="2"/>
      </rPr>
      <t>*</t>
    </r>
  </si>
  <si>
    <r>
      <rPr>
        <b/>
        <sz val="12"/>
        <rFont val="微软雅黑"/>
        <family val="2"/>
        <charset val="134"/>
      </rPr>
      <t>含税人民币总计</t>
    </r>
  </si>
  <si>
    <r>
      <rPr>
        <b/>
        <sz val="12"/>
        <rFont val="微软雅黑"/>
        <family val="2"/>
        <charset val="134"/>
      </rPr>
      <t>费率卡使用部分金额总计</t>
    </r>
    <r>
      <rPr>
        <b/>
        <sz val="12"/>
        <color rgb="FFFF0000"/>
        <rFont val="Arial"/>
        <family val="2"/>
      </rPr>
      <t>**</t>
    </r>
  </si>
  <si>
    <r>
      <rPr>
        <b/>
        <sz val="12"/>
        <rFont val="微软雅黑"/>
        <family val="2"/>
        <charset val="134"/>
      </rPr>
      <t>费率卡使用比例</t>
    </r>
  </si>
  <si>
    <r>
      <t>Remark</t>
    </r>
    <r>
      <rPr>
        <sz val="11"/>
        <color theme="1"/>
        <rFont val="微软雅黑"/>
        <family val="2"/>
        <charset val="134"/>
      </rPr>
      <t>：</t>
    </r>
  </si>
  <si>
    <r>
      <rPr>
        <sz val="11"/>
        <color rgb="FFFF0000"/>
        <rFont val="Arial"/>
        <family val="2"/>
      </rPr>
      <t xml:space="preserve">* </t>
    </r>
    <r>
      <rPr>
        <sz val="11"/>
        <color theme="1"/>
        <rFont val="微软雅黑"/>
        <family val="2"/>
        <charset val="134"/>
      </rPr>
      <t>税费不是</t>
    </r>
    <r>
      <rPr>
        <sz val="11"/>
        <color theme="1"/>
        <rFont val="Arial"/>
        <family val="2"/>
      </rPr>
      <t>6%</t>
    </r>
    <r>
      <rPr>
        <sz val="11"/>
        <color theme="1"/>
        <rFont val="微软雅黑"/>
        <family val="2"/>
        <charset val="134"/>
      </rPr>
      <t>的，请调整</t>
    </r>
    <r>
      <rPr>
        <sz val="11"/>
        <color theme="1"/>
        <rFont val="Arial"/>
        <family val="2"/>
      </rPr>
      <t>E</t>
    </r>
    <r>
      <rPr>
        <sz val="11"/>
        <color theme="1"/>
        <rFont val="微软雅黑"/>
        <family val="2"/>
        <charset val="134"/>
      </rPr>
      <t>栏的税费</t>
    </r>
  </si>
  <si>
    <r>
      <rPr>
        <sz val="11"/>
        <color rgb="FFFF0000"/>
        <rFont val="Arial"/>
        <family val="2"/>
      </rPr>
      <t>**</t>
    </r>
    <r>
      <rPr>
        <sz val="11"/>
        <color theme="1"/>
        <rFont val="微软雅黑"/>
        <family val="2"/>
        <charset val="134"/>
      </rPr>
      <t>费率卡使用金额总计为报价中所有费率卡价格的总价</t>
    </r>
  </si>
  <si>
    <r>
      <rPr>
        <sz val="11"/>
        <color theme="1"/>
        <rFont val="微软雅黑"/>
        <family val="2"/>
        <charset val="134"/>
      </rPr>
      <t>人民币小计</t>
    </r>
  </si>
  <si>
    <r>
      <rPr>
        <b/>
        <sz val="12"/>
        <rFont val="微软雅黑"/>
        <family val="2"/>
        <charset val="134"/>
      </rPr>
      <t>编号</t>
    </r>
  </si>
  <si>
    <r>
      <rPr>
        <b/>
        <sz val="12"/>
        <rFont val="微软雅黑"/>
        <family val="2"/>
        <charset val="134"/>
      </rPr>
      <t>内容</t>
    </r>
  </si>
  <si>
    <r>
      <rPr>
        <b/>
        <sz val="12"/>
        <rFont val="微软雅黑"/>
        <family val="2"/>
        <charset val="134"/>
      </rPr>
      <t>单价</t>
    </r>
  </si>
  <si>
    <r>
      <rPr>
        <b/>
        <sz val="12"/>
        <rFont val="微软雅黑"/>
        <family val="2"/>
        <charset val="134"/>
      </rPr>
      <t>数量</t>
    </r>
  </si>
  <si>
    <r>
      <rPr>
        <b/>
        <sz val="12"/>
        <rFont val="微软雅黑"/>
        <family val="2"/>
        <charset val="134"/>
      </rPr>
      <t>单位</t>
    </r>
  </si>
  <si>
    <r>
      <rPr>
        <b/>
        <sz val="12"/>
        <rFont val="微软雅黑"/>
        <family val="2"/>
        <charset val="134"/>
      </rPr>
      <t>总金额</t>
    </r>
  </si>
  <si>
    <r>
      <rPr>
        <b/>
        <sz val="12"/>
        <rFont val="微软雅黑"/>
        <family val="2"/>
        <charset val="134"/>
      </rPr>
      <t>备注</t>
    </r>
  </si>
  <si>
    <r>
      <rPr>
        <b/>
        <sz val="12"/>
        <rFont val="微软雅黑"/>
        <family val="2"/>
        <charset val="134"/>
      </rPr>
      <t>费率卡</t>
    </r>
  </si>
  <si>
    <r>
      <rPr>
        <sz val="10"/>
        <color theme="1"/>
        <rFont val="微软雅黑"/>
        <family val="2"/>
        <charset val="134"/>
      </rPr>
      <t>人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天</t>
    </r>
    <phoneticPr fontId="6" type="noConversion"/>
  </si>
  <si>
    <r>
      <t>3. Others</t>
    </r>
    <r>
      <rPr>
        <b/>
        <i/>
        <sz val="11"/>
        <color theme="1"/>
        <rFont val="微软雅黑"/>
        <family val="2"/>
        <charset val="134"/>
      </rPr>
      <t>其他</t>
    </r>
  </si>
  <si>
    <t>低于费率卡</t>
    <phoneticPr fontId="6" type="noConversion"/>
  </si>
  <si>
    <t>2026.04.20</t>
    <phoneticPr fontId="6" type="noConversion"/>
  </si>
  <si>
    <t>用户端	
失物招领	
失物招领查看	
前端用户可查看失物list</t>
    <phoneticPr fontId="7" type="noConversion"/>
  </si>
  <si>
    <t>用户端	
员工survey	
Survey填写页面	
员工填写survey表单页面，数据提交与展示</t>
    <phoneticPr fontId="7" type="noConversion"/>
  </si>
  <si>
    <t>用户端	
ISO认证	
ISO 45001认证页面	
知识库、宣传渠道静态页面</t>
    <phoneticPr fontId="7" type="noConversion"/>
  </si>
  <si>
    <t>用户端	
EAG	
EAG静态页面	
EAG相关内容静态页面</t>
    <phoneticPr fontId="7" type="noConversion"/>
  </si>
  <si>
    <t>用户端	
AI助手	
AI chatbot	
Dify接入，解决Facility相关的问答和服务快速触达（已有Dify环境，仅需API对接）</t>
    <phoneticPr fontId="7" type="noConversion"/>
  </si>
  <si>
    <t>管理后台	
员工survey	
Survey表单创建管理	
PC后台创建问卷表单功能，支持表单设计、字段配置、发布管理、数据统计、Excel导出</t>
    <phoneticPr fontId="7" type="noConversion"/>
  </si>
  <si>
    <t>管理后台	
失物招领	
失物list管理	
后台管理员可编辑失物list（增删改查）</t>
    <phoneticPr fontId="7" type="noConversion"/>
  </si>
  <si>
    <t>管理后台	
数据收集	
数据collection接口	
预设数据收集及传输接口给DI Team，含数据格式定义和传输协议</t>
    <phoneticPr fontId="7" type="noConversion"/>
  </si>
  <si>
    <t>其他	
系统测试		
集成测试、系统测试</t>
    <phoneticPr fontId="7" type="noConversion"/>
  </si>
  <si>
    <t>其他	
需求沟通		
沟通、需求文档</t>
    <phoneticPr fontId="7" type="noConversion"/>
  </si>
  <si>
    <t>其他	
验收发布		
项目验收和上线发布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</si>
</sst>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&quot;￥&quot;#,##0.00_);[Red]\(&quot;￥&quot;#,##0.00\)"/>
    <numFmt numFmtId="178" formatCode="#,##0_ "/>
  </numFmts>
  <fonts count="28">
    <font>
      <sz val="11"/>
      <color theme="1"/>
      <name val="等线"/>
      <charset val="134"/>
      <scheme val="minor"/>
    </font>
    <font>
      <b/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u/>
      <sz val="11"/>
      <color theme="10"/>
      <name val="等线"/>
      <family val="4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9"/>
      <name val="宋体"/>
      <family val="3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i/>
      <sz val="11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1"/>
      <color rgb="FFFF0000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  <charset val="134"/>
    </font>
    <font>
      <sz val="11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Border="0"/>
    <xf numFmtId="0" fontId="5" fillId="0" borderId="0"/>
    <xf numFmtId="0" fontId="5" fillId="0" borderId="0">
      <alignment vertical="center"/>
    </xf>
  </cellStyleXfs>
  <cellXfs count="75">
    <xf numFmtId="0" fontId="0" fillId="0" borderId="0" xfId="0">
      <alignment vertical="center"/>
    </xf>
    <xf numFmtId="0" fontId="15" fillId="0" borderId="0" xfId="0" applyFont="1">
      <alignment vertical="center"/>
    </xf>
    <xf numFmtId="0" fontId="16" fillId="2" borderId="1" xfId="5" applyFont="1" applyFill="1" applyBorder="1">
      <alignment vertical="center"/>
    </xf>
    <xf numFmtId="0" fontId="15" fillId="2" borderId="2" xfId="5" applyFont="1" applyFill="1" applyBorder="1">
      <alignment vertical="center"/>
    </xf>
    <xf numFmtId="0" fontId="16" fillId="0" borderId="0" xfId="5" applyFont="1">
      <alignment vertical="center"/>
    </xf>
    <xf numFmtId="0" fontId="16" fillId="2" borderId="3" xfId="5" applyFont="1" applyFill="1" applyBorder="1">
      <alignment vertical="center"/>
    </xf>
    <xf numFmtId="0" fontId="17" fillId="2" borderId="4" xfId="5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7" fillId="0" borderId="5" xfId="5" applyFont="1" applyBorder="1">
      <alignment vertical="center"/>
    </xf>
    <xf numFmtId="0" fontId="15" fillId="0" borderId="5" xfId="5" applyFont="1" applyBorder="1">
      <alignment vertical="center"/>
    </xf>
    <xf numFmtId="0" fontId="15" fillId="0" borderId="5" xfId="0" applyFont="1" applyBorder="1">
      <alignment vertical="center"/>
    </xf>
    <xf numFmtId="0" fontId="15" fillId="0" borderId="1" xfId="0" applyFont="1" applyBorder="1">
      <alignment vertical="center"/>
    </xf>
    <xf numFmtId="0" fontId="17" fillId="2" borderId="6" xfId="5" applyFont="1" applyFill="1" applyBorder="1" applyAlignment="1">
      <alignment vertical="center" wrapText="1"/>
    </xf>
    <xf numFmtId="9" fontId="19" fillId="0" borderId="10" xfId="3" applyNumberFormat="1" applyFont="1" applyBorder="1" applyAlignment="1">
      <alignment vertical="center" wrapText="1"/>
    </xf>
    <xf numFmtId="0" fontId="19" fillId="6" borderId="10" xfId="3" applyFont="1" applyFill="1" applyBorder="1" applyAlignment="1">
      <alignment horizontal="center" vertical="center" wrapText="1"/>
    </xf>
    <xf numFmtId="40" fontId="19" fillId="6" borderId="10" xfId="3" applyNumberFormat="1" applyFont="1" applyFill="1" applyBorder="1" applyAlignment="1">
      <alignment horizontal="center" vertical="center" wrapText="1"/>
    </xf>
    <xf numFmtId="38" fontId="19" fillId="6" borderId="10" xfId="3" applyNumberFormat="1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left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vertical="center" wrapText="1"/>
    </xf>
    <xf numFmtId="0" fontId="15" fillId="0" borderId="10" xfId="0" applyFont="1" applyBorder="1">
      <alignment vertical="center"/>
    </xf>
    <xf numFmtId="0" fontId="15" fillId="0" borderId="10" xfId="0" applyFont="1" applyBorder="1" applyAlignment="1">
      <alignment horizontal="center" vertical="center" wrapText="1"/>
    </xf>
    <xf numFmtId="178" fontId="24" fillId="0" borderId="7" xfId="0" applyNumberFormat="1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5" fillId="0" borderId="10" xfId="4" applyFont="1" applyBorder="1" applyAlignment="1">
      <alignment horizontal="left" vertical="center" wrapText="1"/>
    </xf>
    <xf numFmtId="0" fontId="26" fillId="0" borderId="10" xfId="0" applyFont="1" applyBorder="1">
      <alignment vertical="center"/>
    </xf>
    <xf numFmtId="0" fontId="27" fillId="2" borderId="17" xfId="5" applyFont="1" applyFill="1" applyBorder="1" applyAlignment="1">
      <alignment horizontal="left" vertical="center" wrapText="1"/>
    </xf>
    <xf numFmtId="0" fontId="5" fillId="2" borderId="17" xfId="5" applyFill="1" applyBorder="1" applyAlignment="1">
      <alignment horizontal="left" vertical="center"/>
    </xf>
    <xf numFmtId="0" fontId="3" fillId="2" borderId="18" xfId="2" applyNumberFormat="1" applyFill="1" applyBorder="1" applyAlignment="1" applyProtection="1">
      <alignment horizontal="left" vertical="center"/>
    </xf>
    <xf numFmtId="0" fontId="13" fillId="0" borderId="10" xfId="0" applyFont="1" applyBorder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9" fillId="0" borderId="10" xfId="3" applyFont="1" applyBorder="1" applyAlignment="1">
      <alignment horizontal="center" vertical="center" wrapText="1"/>
    </xf>
    <xf numFmtId="176" fontId="19" fillId="0" borderId="10" xfId="3" applyNumberFormat="1" applyFont="1" applyBorder="1" applyAlignment="1">
      <alignment horizontal="center" vertical="center" wrapText="1"/>
    </xf>
    <xf numFmtId="9" fontId="19" fillId="0" borderId="10" xfId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4" borderId="7" xfId="3" applyFont="1" applyFill="1" applyBorder="1" applyAlignment="1">
      <alignment horizontal="center" vertical="center" wrapText="1"/>
    </xf>
    <xf numFmtId="0" fontId="19" fillId="4" borderId="9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5" borderId="10" xfId="5" applyFont="1" applyFill="1" applyBorder="1" applyAlignment="1">
      <alignment horizontal="right" vertical="center"/>
    </xf>
    <xf numFmtId="0" fontId="15" fillId="5" borderId="7" xfId="5" applyFont="1" applyFill="1" applyBorder="1" applyAlignment="1">
      <alignment horizontal="center" vertical="center"/>
    </xf>
    <xf numFmtId="0" fontId="15" fillId="5" borderId="9" xfId="5" applyFont="1" applyFill="1" applyBorder="1" applyAlignment="1">
      <alignment horizontal="center" vertical="center"/>
    </xf>
    <xf numFmtId="0" fontId="15" fillId="5" borderId="8" xfId="5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77" fontId="19" fillId="6" borderId="7" xfId="3" applyNumberFormat="1" applyFont="1" applyFill="1" applyBorder="1" applyAlignment="1">
      <alignment horizontal="center" vertical="center" wrapText="1"/>
    </xf>
    <xf numFmtId="177" fontId="19" fillId="6" borderId="8" xfId="3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177" fontId="19" fillId="6" borderId="10" xfId="3" applyNumberFormat="1" applyFont="1" applyFill="1" applyBorder="1" applyAlignment="1">
      <alignment horizontal="center" vertical="center" wrapText="1"/>
    </xf>
    <xf numFmtId="0" fontId="22" fillId="5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8" fillId="0" borderId="0" xfId="2" applyFont="1" applyBorder="1" applyAlignment="1">
      <alignment horizontal="left" vertical="center"/>
    </xf>
    <xf numFmtId="0" fontId="15" fillId="0" borderId="14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5" fillId="0" borderId="16" xfId="5" applyFont="1" applyBorder="1" applyAlignment="1">
      <alignment horizontal="center" vertical="center"/>
    </xf>
    <xf numFmtId="0" fontId="15" fillId="5" borderId="10" xfId="5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16" fillId="3" borderId="10" xfId="5" applyFont="1" applyFill="1" applyBorder="1" applyAlignment="1">
      <alignment horizontal="left" vertical="center"/>
    </xf>
  </cellXfs>
  <cellStyles count="6">
    <cellStyle name="0,0_x000a__x000a_NA_x000a__x000a_" xfId="3" xr:uid="{00000000-0005-0000-0000-000031000000}"/>
    <cellStyle name="Normal 2" xfId="4" xr:uid="{00000000-0005-0000-0000-000032000000}"/>
    <cellStyle name="百分比" xfId="1" builtinId="5"/>
    <cellStyle name="常规" xfId="0" builtinId="0"/>
    <cellStyle name="常规 3" xfId="5" xr:uid="{00000000-0005-0000-0000-000033000000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chel.gao@loffcomm7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39" zoomScale="75" workbookViewId="0">
      <selection activeCell="G39" sqref="G39:H39"/>
    </sheetView>
  </sheetViews>
  <sheetFormatPr baseColWidth="10" defaultColWidth="8.83203125" defaultRowHeight="14"/>
  <cols>
    <col min="1" max="1" width="12.1640625" style="1" customWidth="1"/>
    <col min="2" max="2" width="35.33203125" style="1" customWidth="1"/>
    <col min="3" max="3" width="10.5" style="1" customWidth="1"/>
    <col min="4" max="4" width="9.5" style="1" customWidth="1"/>
    <col min="5" max="5" width="9.83203125" style="1" customWidth="1"/>
    <col min="6" max="6" width="12.1640625" style="1" customWidth="1"/>
    <col min="7" max="7" width="9.6640625" style="1" customWidth="1"/>
    <col min="8" max="8" width="27.33203125" style="1" customWidth="1"/>
    <col min="9" max="9" width="11.33203125" style="1" customWidth="1"/>
    <col min="10" max="16384" width="8.83203125" style="1"/>
  </cols>
  <sheetData>
    <row r="1" spans="1:9">
      <c r="A1" s="34" t="s">
        <v>4</v>
      </c>
      <c r="B1" s="34"/>
      <c r="C1" s="34"/>
      <c r="D1" s="34"/>
      <c r="E1" s="34"/>
      <c r="F1" s="34"/>
      <c r="G1" s="34"/>
      <c r="H1" s="34"/>
      <c r="I1" s="34"/>
    </row>
    <row r="2" spans="1:9">
      <c r="A2" s="34"/>
      <c r="B2" s="34"/>
      <c r="C2" s="34"/>
      <c r="D2" s="34"/>
      <c r="E2" s="34"/>
      <c r="F2" s="34"/>
      <c r="G2" s="34"/>
      <c r="H2" s="34"/>
      <c r="I2" s="34"/>
    </row>
    <row r="4" spans="1:9" ht="17">
      <c r="A4" s="2" t="s">
        <v>5</v>
      </c>
      <c r="B4" s="3"/>
      <c r="E4" s="4" t="s">
        <v>6</v>
      </c>
      <c r="F4" s="44"/>
      <c r="G4" s="44"/>
      <c r="H4" s="44"/>
      <c r="I4" s="45"/>
    </row>
    <row r="5" spans="1:9">
      <c r="A5" s="5"/>
      <c r="B5" s="6"/>
      <c r="E5" s="5"/>
      <c r="F5" s="62"/>
      <c r="G5" s="62"/>
      <c r="H5" s="62"/>
      <c r="I5" s="63"/>
    </row>
    <row r="6" spans="1:9" ht="17">
      <c r="A6" s="8" t="s">
        <v>7</v>
      </c>
      <c r="B6" s="26"/>
      <c r="E6" s="8" t="s">
        <v>8</v>
      </c>
      <c r="F6" s="64" t="s">
        <v>9</v>
      </c>
      <c r="G6" s="64"/>
      <c r="H6" s="64"/>
      <c r="I6" s="65"/>
    </row>
    <row r="7" spans="1:9" ht="17">
      <c r="A7" s="9" t="s">
        <v>10</v>
      </c>
      <c r="B7" s="27"/>
      <c r="E7" s="9" t="s">
        <v>11</v>
      </c>
      <c r="F7" s="64" t="s">
        <v>1</v>
      </c>
      <c r="G7" s="64"/>
      <c r="H7" s="64"/>
      <c r="I7" s="65"/>
    </row>
    <row r="8" spans="1:9" ht="17">
      <c r="A8" s="9" t="s">
        <v>12</v>
      </c>
      <c r="B8" s="27"/>
      <c r="E8" s="9" t="s">
        <v>12</v>
      </c>
      <c r="F8" s="64">
        <v>13761216899</v>
      </c>
      <c r="G8" s="64"/>
      <c r="H8" s="64"/>
      <c r="I8" s="65"/>
    </row>
    <row r="9" spans="1:9" ht="17">
      <c r="A9" s="10" t="s">
        <v>13</v>
      </c>
      <c r="B9" s="28"/>
      <c r="E9" s="10" t="s">
        <v>13</v>
      </c>
      <c r="F9" s="66" t="s">
        <v>2</v>
      </c>
      <c r="G9" s="64"/>
      <c r="H9" s="64"/>
      <c r="I9" s="65"/>
    </row>
    <row r="10" spans="1:9" ht="17">
      <c r="A10" s="10" t="s">
        <v>14</v>
      </c>
      <c r="B10" s="6"/>
      <c r="E10" s="9" t="s">
        <v>15</v>
      </c>
      <c r="F10" s="64" t="s">
        <v>42</v>
      </c>
      <c r="G10" s="64"/>
      <c r="H10" s="64"/>
      <c r="I10" s="65"/>
    </row>
    <row r="11" spans="1:9">
      <c r="A11" s="11"/>
      <c r="B11" s="12"/>
      <c r="C11" s="11"/>
      <c r="D11" s="11"/>
      <c r="E11" s="67"/>
      <c r="F11" s="68"/>
      <c r="G11" s="68"/>
      <c r="H11" s="68"/>
      <c r="I11" s="69"/>
    </row>
    <row r="13" spans="1:9" ht="17">
      <c r="A13" s="71" t="s">
        <v>16</v>
      </c>
      <c r="B13" s="72"/>
      <c r="C13" s="73"/>
      <c r="D13" s="39"/>
      <c r="E13" s="39"/>
      <c r="F13" s="39"/>
      <c r="G13" s="39"/>
      <c r="H13" s="39"/>
      <c r="I13" s="40"/>
    </row>
    <row r="14" spans="1:9" ht="17">
      <c r="A14" s="71" t="s">
        <v>17</v>
      </c>
      <c r="B14" s="72"/>
      <c r="C14" s="38"/>
      <c r="D14" s="39"/>
      <c r="E14" s="39"/>
      <c r="F14" s="39"/>
      <c r="G14" s="39"/>
      <c r="H14" s="39"/>
      <c r="I14" s="40"/>
    </row>
    <row r="15" spans="1:9" ht="17">
      <c r="A15" s="74" t="s">
        <v>18</v>
      </c>
      <c r="B15" s="74"/>
      <c r="C15" s="38"/>
      <c r="D15" s="39"/>
      <c r="E15" s="39"/>
      <c r="F15" s="39"/>
      <c r="G15" s="39"/>
      <c r="H15" s="39"/>
      <c r="I15" s="40"/>
    </row>
    <row r="16" spans="1:9" ht="17">
      <c r="A16" s="74" t="s">
        <v>19</v>
      </c>
      <c r="B16" s="74"/>
      <c r="C16" s="38"/>
      <c r="D16" s="39"/>
      <c r="E16" s="39"/>
      <c r="F16" s="39"/>
      <c r="G16" s="39"/>
      <c r="H16" s="39"/>
      <c r="I16" s="40"/>
    </row>
    <row r="17" spans="1:9" ht="17">
      <c r="A17" s="74" t="s">
        <v>20</v>
      </c>
      <c r="B17" s="74"/>
      <c r="C17" s="38"/>
      <c r="D17" s="39"/>
      <c r="E17" s="39"/>
      <c r="F17" s="39"/>
      <c r="G17" s="39"/>
      <c r="H17" s="39"/>
      <c r="I17" s="40"/>
    </row>
    <row r="19" spans="1:9" ht="16">
      <c r="A19" s="41" t="s">
        <v>21</v>
      </c>
      <c r="B19" s="42"/>
      <c r="C19" s="42"/>
      <c r="D19" s="42"/>
      <c r="E19" s="42"/>
      <c r="F19" s="42"/>
      <c r="G19" s="42"/>
      <c r="H19" s="42"/>
      <c r="I19" s="43"/>
    </row>
    <row r="20" spans="1:9" ht="16">
      <c r="A20" s="35" t="s">
        <v>22</v>
      </c>
      <c r="B20" s="35"/>
      <c r="C20" s="35"/>
      <c r="D20" s="35"/>
      <c r="E20" s="36">
        <f>G29+G37+G52</f>
        <v>0</v>
      </c>
      <c r="F20" s="35"/>
      <c r="G20" s="35"/>
      <c r="H20" s="35"/>
      <c r="I20" s="35"/>
    </row>
    <row r="21" spans="1:9" ht="16">
      <c r="A21" s="35" t="s">
        <v>23</v>
      </c>
      <c r="B21" s="35"/>
      <c r="C21" s="35"/>
      <c r="D21" s="35"/>
      <c r="E21" s="13">
        <v>0.06</v>
      </c>
      <c r="F21" s="35">
        <f>E20*E21</f>
        <v>0</v>
      </c>
      <c r="G21" s="35"/>
      <c r="H21" s="35"/>
      <c r="I21" s="35"/>
    </row>
    <row r="22" spans="1:9" ht="16">
      <c r="A22" s="35" t="s">
        <v>24</v>
      </c>
      <c r="B22" s="35"/>
      <c r="C22" s="35"/>
      <c r="D22" s="35"/>
      <c r="E22" s="36">
        <f>E20+F21</f>
        <v>0</v>
      </c>
      <c r="F22" s="35"/>
      <c r="G22" s="35"/>
      <c r="H22" s="35"/>
      <c r="I22" s="35"/>
    </row>
    <row r="23" spans="1:9" ht="16">
      <c r="A23" s="35" t="s">
        <v>25</v>
      </c>
      <c r="B23" s="35"/>
      <c r="C23" s="35"/>
      <c r="D23" s="35"/>
      <c r="E23" s="36">
        <f>E20</f>
        <v>0</v>
      </c>
      <c r="F23" s="35"/>
      <c r="G23" s="35"/>
      <c r="H23" s="35"/>
      <c r="I23" s="35"/>
    </row>
    <row r="24" spans="1:9" ht="16">
      <c r="A24" s="35" t="s">
        <v>26</v>
      </c>
      <c r="B24" s="35"/>
      <c r="C24" s="35"/>
      <c r="D24" s="35"/>
      <c r="E24" s="37" t="e">
        <f>E23/E20</f>
        <v>#DIV/0!</v>
      </c>
      <c r="F24" s="37"/>
      <c r="G24" s="37"/>
      <c r="H24" s="37"/>
      <c r="I24" s="37"/>
    </row>
    <row r="26" spans="1:9" ht="17">
      <c r="A26" s="55" t="s">
        <v>27</v>
      </c>
      <c r="B26" s="38" t="s">
        <v>28</v>
      </c>
      <c r="C26" s="39"/>
      <c r="D26" s="39"/>
      <c r="E26" s="39"/>
      <c r="F26" s="39"/>
      <c r="G26" s="39"/>
      <c r="H26" s="39"/>
      <c r="I26" s="40"/>
    </row>
    <row r="27" spans="1:9" ht="17">
      <c r="A27" s="56"/>
      <c r="B27" s="38" t="s">
        <v>29</v>
      </c>
      <c r="C27" s="39"/>
      <c r="D27" s="39"/>
      <c r="E27" s="39"/>
      <c r="F27" s="39"/>
      <c r="G27" s="39"/>
      <c r="H27" s="39"/>
      <c r="I27" s="40"/>
    </row>
    <row r="29" spans="1:9" ht="17">
      <c r="A29" s="57" t="s">
        <v>3</v>
      </c>
      <c r="B29" s="58"/>
      <c r="C29" s="59"/>
      <c r="D29" s="46" t="s">
        <v>30</v>
      </c>
      <c r="E29" s="46"/>
      <c r="F29" s="46"/>
      <c r="G29" s="70">
        <f>SUM(F31:F35)</f>
        <v>0</v>
      </c>
      <c r="H29" s="70"/>
      <c r="I29" s="70"/>
    </row>
    <row r="30" spans="1:9" ht="19">
      <c r="A30" s="14" t="s">
        <v>31</v>
      </c>
      <c r="B30" s="14" t="s">
        <v>32</v>
      </c>
      <c r="C30" s="15" t="s">
        <v>33</v>
      </c>
      <c r="D30" s="16" t="s">
        <v>34</v>
      </c>
      <c r="E30" s="16" t="s">
        <v>35</v>
      </c>
      <c r="F30" s="15" t="s">
        <v>36</v>
      </c>
      <c r="G30" s="60" t="s">
        <v>37</v>
      </c>
      <c r="H30" s="60"/>
      <c r="I30" s="16" t="s">
        <v>38</v>
      </c>
    </row>
    <row r="31" spans="1:9" ht="48" customHeight="1">
      <c r="A31" s="20"/>
      <c r="B31" s="29"/>
      <c r="C31" s="20"/>
      <c r="D31" s="30"/>
      <c r="E31" s="25"/>
      <c r="F31" s="20"/>
      <c r="G31" s="31"/>
      <c r="H31" s="32"/>
      <c r="I31" s="17"/>
    </row>
    <row r="32" spans="1:9">
      <c r="A32" s="19"/>
      <c r="B32" s="20"/>
      <c r="C32" s="20"/>
      <c r="D32" s="20"/>
      <c r="E32" s="20"/>
      <c r="F32" s="20">
        <f t="shared" ref="F32:F35" si="0">C32*D32</f>
        <v>0</v>
      </c>
      <c r="G32" s="50"/>
      <c r="H32" s="50"/>
      <c r="I32" s="21"/>
    </row>
    <row r="33" spans="1:9">
      <c r="A33" s="20"/>
      <c r="B33" s="20"/>
      <c r="C33" s="20"/>
      <c r="D33" s="20"/>
      <c r="E33" s="20"/>
      <c r="F33" s="20">
        <f t="shared" si="0"/>
        <v>0</v>
      </c>
      <c r="G33" s="50"/>
      <c r="H33" s="50"/>
      <c r="I33" s="20"/>
    </row>
    <row r="34" spans="1:9">
      <c r="A34" s="20"/>
      <c r="B34" s="20"/>
      <c r="C34" s="20"/>
      <c r="D34" s="20"/>
      <c r="E34" s="20"/>
      <c r="F34" s="20">
        <f t="shared" si="0"/>
        <v>0</v>
      </c>
      <c r="G34" s="50"/>
      <c r="H34" s="50"/>
      <c r="I34" s="20"/>
    </row>
    <row r="35" spans="1:9">
      <c r="A35" s="20"/>
      <c r="B35" s="20"/>
      <c r="C35" s="20"/>
      <c r="D35" s="20"/>
      <c r="E35" s="20"/>
      <c r="F35" s="20">
        <f t="shared" si="0"/>
        <v>0</v>
      </c>
      <c r="G35" s="50"/>
      <c r="H35" s="50"/>
      <c r="I35" s="20"/>
    </row>
    <row r="36" spans="1:9">
      <c r="G36" s="7"/>
      <c r="H36" s="7"/>
    </row>
    <row r="37" spans="1:9" ht="17">
      <c r="A37" s="57" t="s">
        <v>0</v>
      </c>
      <c r="B37" s="58"/>
      <c r="C37" s="59"/>
      <c r="D37" s="46" t="s">
        <v>30</v>
      </c>
      <c r="E37" s="46"/>
      <c r="F37" s="46"/>
      <c r="G37" s="47">
        <f>SUM(F39:F50)</f>
        <v>0</v>
      </c>
      <c r="H37" s="48"/>
      <c r="I37" s="49"/>
    </row>
    <row r="38" spans="1:9" ht="19">
      <c r="A38" s="14" t="s">
        <v>31</v>
      </c>
      <c r="B38" s="14" t="s">
        <v>32</v>
      </c>
      <c r="C38" s="15" t="s">
        <v>33</v>
      </c>
      <c r="D38" s="16" t="s">
        <v>34</v>
      </c>
      <c r="E38" s="16" t="s">
        <v>35</v>
      </c>
      <c r="F38" s="15" t="s">
        <v>36</v>
      </c>
      <c r="G38" s="51" t="s">
        <v>37</v>
      </c>
      <c r="H38" s="52"/>
      <c r="I38" s="16" t="s">
        <v>38</v>
      </c>
    </row>
    <row r="39" spans="1:9" ht="82" customHeight="1">
      <c r="A39" s="20"/>
      <c r="B39" s="29"/>
      <c r="C39" s="20"/>
      <c r="D39" s="30"/>
      <c r="E39" s="25" t="s">
        <v>39</v>
      </c>
      <c r="F39" s="20">
        <f t="shared" ref="F39:F49" si="1">C39*D39</f>
        <v>0</v>
      </c>
      <c r="G39" s="31" t="s">
        <v>44</v>
      </c>
      <c r="H39" s="32"/>
      <c r="I39" s="17" t="s">
        <v>41</v>
      </c>
    </row>
    <row r="40" spans="1:9" ht="72" customHeight="1">
      <c r="A40" s="20"/>
      <c r="B40" s="29"/>
      <c r="C40" s="20"/>
      <c r="D40" s="30"/>
      <c r="E40" s="25" t="s">
        <v>39</v>
      </c>
      <c r="F40" s="20">
        <f t="shared" si="1"/>
        <v>0</v>
      </c>
      <c r="G40" s="31" t="s">
        <v>43</v>
      </c>
      <c r="H40" s="33"/>
      <c r="I40" s="17" t="s">
        <v>41</v>
      </c>
    </row>
    <row r="41" spans="1:9" ht="78" customHeight="1">
      <c r="A41" s="20"/>
      <c r="B41" s="29"/>
      <c r="C41" s="20"/>
      <c r="D41" s="30"/>
      <c r="E41" s="25" t="s">
        <v>39</v>
      </c>
      <c r="F41" s="20">
        <f t="shared" si="1"/>
        <v>0</v>
      </c>
      <c r="G41" s="31" t="s">
        <v>45</v>
      </c>
      <c r="H41" s="32"/>
      <c r="I41" s="17" t="s">
        <v>41</v>
      </c>
    </row>
    <row r="42" spans="1:9" ht="72" customHeight="1">
      <c r="A42" s="20"/>
      <c r="B42" s="29"/>
      <c r="C42" s="20"/>
      <c r="D42" s="30"/>
      <c r="E42" s="25" t="s">
        <v>39</v>
      </c>
      <c r="F42" s="20">
        <f t="shared" si="1"/>
        <v>0</v>
      </c>
      <c r="G42" s="31" t="s">
        <v>46</v>
      </c>
      <c r="H42" s="32"/>
      <c r="I42" s="17" t="s">
        <v>41</v>
      </c>
    </row>
    <row r="43" spans="1:9" ht="93" customHeight="1">
      <c r="A43" s="20"/>
      <c r="B43" s="29"/>
      <c r="C43" s="20"/>
      <c r="D43" s="30"/>
      <c r="E43" s="25" t="s">
        <v>39</v>
      </c>
      <c r="F43" s="20">
        <f t="shared" si="1"/>
        <v>0</v>
      </c>
      <c r="G43" s="31" t="s">
        <v>47</v>
      </c>
      <c r="H43" s="33"/>
      <c r="I43" s="17" t="s">
        <v>41</v>
      </c>
    </row>
    <row r="44" spans="1:9" ht="93" customHeight="1">
      <c r="A44" s="20"/>
      <c r="B44" s="29"/>
      <c r="C44" s="20"/>
      <c r="D44" s="30"/>
      <c r="E44" s="25" t="s">
        <v>39</v>
      </c>
      <c r="F44" s="20">
        <f t="shared" si="1"/>
        <v>0</v>
      </c>
      <c r="G44" s="31" t="s">
        <v>48</v>
      </c>
      <c r="H44" s="33"/>
      <c r="I44" s="17" t="s">
        <v>41</v>
      </c>
    </row>
    <row r="45" spans="1:9" ht="93" customHeight="1">
      <c r="A45" s="20"/>
      <c r="B45" s="29"/>
      <c r="C45" s="20"/>
      <c r="D45" s="30"/>
      <c r="E45" s="25" t="s">
        <v>39</v>
      </c>
      <c r="F45" s="20">
        <f t="shared" si="1"/>
        <v>0</v>
      </c>
      <c r="G45" s="31" t="s">
        <v>49</v>
      </c>
      <c r="H45" s="32"/>
      <c r="I45" s="17" t="s">
        <v>41</v>
      </c>
    </row>
    <row r="46" spans="1:9" ht="93" customHeight="1">
      <c r="A46" s="20"/>
      <c r="B46" s="29"/>
      <c r="C46" s="20"/>
      <c r="D46" s="30"/>
      <c r="E46" s="25" t="s">
        <v>39</v>
      </c>
      <c r="F46" s="20">
        <f t="shared" si="1"/>
        <v>0</v>
      </c>
      <c r="G46" s="31" t="s">
        <v>50</v>
      </c>
      <c r="H46" s="32"/>
      <c r="I46" s="17" t="s">
        <v>41</v>
      </c>
    </row>
    <row r="47" spans="1:9" ht="64" customHeight="1">
      <c r="A47" s="20"/>
      <c r="B47" s="29"/>
      <c r="C47" s="20"/>
      <c r="D47" s="30"/>
      <c r="E47" s="25" t="s">
        <v>39</v>
      </c>
      <c r="F47" s="20">
        <f t="shared" si="1"/>
        <v>0</v>
      </c>
      <c r="G47" s="31" t="s">
        <v>51</v>
      </c>
      <c r="H47" s="32"/>
      <c r="I47" s="17" t="s">
        <v>41</v>
      </c>
    </row>
    <row r="48" spans="1:9" ht="65" customHeight="1">
      <c r="A48" s="20"/>
      <c r="B48" s="29"/>
      <c r="C48" s="20"/>
      <c r="D48" s="30"/>
      <c r="E48" s="25" t="s">
        <v>39</v>
      </c>
      <c r="F48" s="20">
        <f t="shared" si="1"/>
        <v>0</v>
      </c>
      <c r="G48" s="31" t="s">
        <v>52</v>
      </c>
      <c r="H48" s="32"/>
      <c r="I48" s="17" t="s">
        <v>41</v>
      </c>
    </row>
    <row r="49" spans="1:9" ht="67" customHeight="1">
      <c r="A49" s="20"/>
      <c r="B49" s="29"/>
      <c r="C49" s="20"/>
      <c r="D49" s="30"/>
      <c r="E49" s="25" t="s">
        <v>39</v>
      </c>
      <c r="F49" s="20">
        <f t="shared" si="1"/>
        <v>0</v>
      </c>
      <c r="G49" s="31" t="s">
        <v>53</v>
      </c>
      <c r="H49" s="32"/>
      <c r="I49" s="17" t="s">
        <v>41</v>
      </c>
    </row>
    <row r="50" spans="1:9">
      <c r="A50" s="17"/>
      <c r="B50" s="24"/>
      <c r="C50" s="22"/>
      <c r="D50" s="23"/>
      <c r="E50" s="18"/>
      <c r="F50" s="18"/>
      <c r="G50" s="38"/>
      <c r="H50" s="40"/>
      <c r="I50" s="17"/>
    </row>
    <row r="51" spans="1:9">
      <c r="A51" s="20"/>
      <c r="B51" s="20"/>
      <c r="C51" s="20"/>
      <c r="D51" s="20"/>
      <c r="E51" s="20"/>
      <c r="F51" s="20"/>
      <c r="G51" s="53"/>
      <c r="H51" s="54"/>
      <c r="I51" s="20"/>
    </row>
    <row r="52" spans="1:9" ht="17">
      <c r="A52" s="61" t="s">
        <v>40</v>
      </c>
      <c r="B52" s="61"/>
      <c r="C52" s="61"/>
      <c r="D52" s="46" t="s">
        <v>30</v>
      </c>
      <c r="E52" s="46"/>
      <c r="F52" s="46"/>
      <c r="G52" s="47">
        <f>SUM(F54:F55)</f>
        <v>0</v>
      </c>
      <c r="H52" s="48"/>
      <c r="I52" s="49"/>
    </row>
    <row r="53" spans="1:9" ht="19">
      <c r="A53" s="14" t="s">
        <v>31</v>
      </c>
      <c r="B53" s="14" t="s">
        <v>32</v>
      </c>
      <c r="C53" s="15" t="s">
        <v>33</v>
      </c>
      <c r="D53" s="16" t="s">
        <v>34</v>
      </c>
      <c r="E53" s="16" t="s">
        <v>35</v>
      </c>
      <c r="F53" s="15" t="s">
        <v>36</v>
      </c>
      <c r="G53" s="51" t="s">
        <v>37</v>
      </c>
      <c r="H53" s="52"/>
      <c r="I53" s="16" t="s">
        <v>38</v>
      </c>
    </row>
    <row r="54" spans="1:9" ht="25" customHeight="1">
      <c r="A54" s="20"/>
      <c r="B54" s="25"/>
      <c r="C54" s="20"/>
      <c r="D54" s="20"/>
      <c r="E54" s="25"/>
      <c r="F54" s="20"/>
      <c r="G54" s="53"/>
      <c r="H54" s="54"/>
      <c r="I54" s="17"/>
    </row>
    <row r="55" spans="1:9" ht="25" customHeight="1">
      <c r="A55" s="20"/>
      <c r="B55" s="20"/>
      <c r="C55" s="20"/>
      <c r="D55" s="20"/>
      <c r="E55" s="20"/>
      <c r="F55" s="20">
        <f t="shared" ref="F55" si="2">C55*D55</f>
        <v>0</v>
      </c>
      <c r="G55" s="53"/>
      <c r="H55" s="54"/>
      <c r="I55" s="20"/>
    </row>
  </sheetData>
  <protectedRanges>
    <protectedRange sqref="H11 D6:D9" name="区域8"/>
    <protectedRange sqref="H11 D6:D9" name="区域6"/>
    <protectedRange sqref="H11 D6:D9" name="区域1"/>
    <protectedRange sqref="H11 D6:D9" name="区域7"/>
    <protectedRange sqref="B13:B14" name="区域8_1"/>
    <protectedRange sqref="B13:B14" name="区域6_1"/>
    <protectedRange sqref="B13:B14" name="区域1_1"/>
    <protectedRange sqref="B13:B14" name="区域7_1"/>
    <protectedRange sqref="H6:I6 H10:I10" name="区域8_3"/>
    <protectedRange sqref="H6:I6 H10:I10" name="区域6_3"/>
    <protectedRange sqref="H6:I6 H10:I10" name="区域1_3"/>
    <protectedRange sqref="H6:I6 H10:I10" name="区域7_3"/>
    <protectedRange sqref="H7:I9" name="区域8_3_1"/>
    <protectedRange sqref="H7:I9" name="区域6_3_1"/>
    <protectedRange sqref="H7:I9" name="区域1_3_1"/>
    <protectedRange sqref="H7:I9" name="区域7_3_1"/>
    <protectedRange sqref="B6:B9" name="区域8_2_2"/>
    <protectedRange sqref="B6:B9" name="区域6_2_2"/>
    <protectedRange sqref="B6:B9" name="区域1_2_2"/>
    <protectedRange sqref="B6:B9" name="区域7_2_2"/>
  </protectedRanges>
  <mergeCells count="65">
    <mergeCell ref="E11:I11"/>
    <mergeCell ref="B27:I27"/>
    <mergeCell ref="A29:C29"/>
    <mergeCell ref="D29:F29"/>
    <mergeCell ref="G29:I29"/>
    <mergeCell ref="A13:B13"/>
    <mergeCell ref="C13:I13"/>
    <mergeCell ref="A14:B14"/>
    <mergeCell ref="C14:I14"/>
    <mergeCell ref="A15:B15"/>
    <mergeCell ref="C15:I15"/>
    <mergeCell ref="A16:B16"/>
    <mergeCell ref="C16:I16"/>
    <mergeCell ref="A17:B17"/>
    <mergeCell ref="F6:I6"/>
    <mergeCell ref="F7:I7"/>
    <mergeCell ref="F8:I8"/>
    <mergeCell ref="F9:I9"/>
    <mergeCell ref="F10:I10"/>
    <mergeCell ref="G53:H53"/>
    <mergeCell ref="G54:H54"/>
    <mergeCell ref="G55:H55"/>
    <mergeCell ref="A26:A27"/>
    <mergeCell ref="G38:H38"/>
    <mergeCell ref="G39:H39"/>
    <mergeCell ref="G33:H33"/>
    <mergeCell ref="G34:H34"/>
    <mergeCell ref="G35:H35"/>
    <mergeCell ref="A37:C37"/>
    <mergeCell ref="D37:F37"/>
    <mergeCell ref="G37:I37"/>
    <mergeCell ref="B26:I26"/>
    <mergeCell ref="G30:H30"/>
    <mergeCell ref="G51:H51"/>
    <mergeCell ref="A52:C52"/>
    <mergeCell ref="D52:F52"/>
    <mergeCell ref="G52:I52"/>
    <mergeCell ref="G50:H50"/>
    <mergeCell ref="A22:D22"/>
    <mergeCell ref="E22:I22"/>
    <mergeCell ref="G31:H31"/>
    <mergeCell ref="G32:H32"/>
    <mergeCell ref="G40:H40"/>
    <mergeCell ref="G41:H41"/>
    <mergeCell ref="G42:H42"/>
    <mergeCell ref="G44:H44"/>
    <mergeCell ref="G45:H45"/>
    <mergeCell ref="G46:H46"/>
    <mergeCell ref="G47:H47"/>
    <mergeCell ref="G48:H48"/>
    <mergeCell ref="G49:H49"/>
    <mergeCell ref="G43:H43"/>
    <mergeCell ref="A1:I2"/>
    <mergeCell ref="A23:D23"/>
    <mergeCell ref="E23:I23"/>
    <mergeCell ref="A24:D24"/>
    <mergeCell ref="E24:I24"/>
    <mergeCell ref="A20:D20"/>
    <mergeCell ref="E20:I20"/>
    <mergeCell ref="A21:D21"/>
    <mergeCell ref="F21:I21"/>
    <mergeCell ref="C17:I17"/>
    <mergeCell ref="A19:I19"/>
    <mergeCell ref="F4:I4"/>
    <mergeCell ref="F5:I5"/>
  </mergeCells>
  <phoneticPr fontId="7" type="noConversion"/>
  <hyperlinks>
    <hyperlink ref="F9" r:id="rId1" xr:uid="{383FB510-D6F7-7844-9F58-8F392BA7CDE0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8" rangeCreator="" othersAccessPermission="edit"/>
    <arrUserId title="区域6" rangeCreator="" othersAccessPermission="edit"/>
    <arrUserId title="区域1" rangeCreator="" othersAccessPermission="edit"/>
    <arrUserId title="区域7" rangeCreator="" othersAccessPermission="edit"/>
    <arrUserId title="区域8_1" rangeCreator="" othersAccessPermission="edit"/>
    <arrUserId title="区域6_1" rangeCreator="" othersAccessPermission="edit"/>
    <arrUserId title="区域1_1" rangeCreator="" othersAccessPermission="edit"/>
    <arrUserId title="区域7_1" rangeCreator="" othersAccessPermission="edit"/>
    <arrUserId title="区域8_2_2" rangeCreator="" othersAccessPermission="edit"/>
    <arrUserId title="区域6_2_2" rangeCreator="" othersAccessPermission="edit"/>
    <arrUserId title="区域1_2_2" rangeCreator="" othersAccessPermission="edit"/>
    <arrUserId title="区域7_2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Jessie [SH12]</dc:creator>
  <cp:lastModifiedBy>H168202@365mak.com</cp:lastModifiedBy>
  <dcterms:created xsi:type="dcterms:W3CDTF">2021-06-16T08:08:00Z</dcterms:created>
  <dcterms:modified xsi:type="dcterms:W3CDTF">2026-09-14T09:15:21Z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BFFEEED9589DDA58A9212666C3290C6C_43</vt:lpwstr>
  </property>
</Properties>
</file>